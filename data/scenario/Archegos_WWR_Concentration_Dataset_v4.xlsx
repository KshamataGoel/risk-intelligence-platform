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770002857\Downloads\"/>
    </mc:Choice>
  </mc:AlternateContent>
  <xr:revisionPtr revIDLastSave="0" documentId="13_ncr:1_{301DA45F-C241-426E-8BE5-921134E1B732}" xr6:coauthVersionLast="47" xr6:coauthVersionMax="47" xr10:uidLastSave="{00000000-0000-0000-0000-000000000000}"/>
  <bookViews>
    <workbookView xWindow="-108" yWindow="-108" windowWidth="23256" windowHeight="12456" activeTab="9" xr2:uid="{00000000-000D-0000-FFFF-FFFF00000000}"/>
  </bookViews>
  <sheets>
    <sheet name="00_README" sheetId="1" r:id="rId1"/>
    <sheet name="01_Scenario_Calendar" sheetId="2" r:id="rId2"/>
    <sheet name="02_WWR_Capital_vs_Exposure" sheetId="3" r:id="rId3"/>
    <sheet name="03_WWR_Specific_By_Name" sheetId="4" r:id="rId4"/>
    <sheet name="04_WWR_CrossDealer_Calls" sheetId="5" r:id="rId5"/>
    <sheet name="05_Position_vs_Liquidity" sheetId="6" r:id="rId6"/>
    <sheet name="06_CrossDealer_Heatmap" sheetId="7" r:id="rId7"/>
    <sheet name="07_Correlation_Matrix" sheetId="8" r:id="rId8"/>
    <sheet name="08_Concentration_HHI" sheetId="9" r:id="rId9"/>
    <sheet name="Transmission flow"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7" l="1"/>
  <c r="J11" i="7"/>
  <c r="I11" i="7"/>
  <c r="H11" i="7"/>
  <c r="G11" i="7"/>
  <c r="F11" i="7"/>
  <c r="E11" i="7"/>
  <c r="D11" i="7"/>
  <c r="C11" i="7"/>
  <c r="B11" i="7"/>
  <c r="L11" i="7" s="1"/>
  <c r="L10" i="7"/>
  <c r="L9" i="7"/>
  <c r="L8" i="7"/>
  <c r="L7" i="7"/>
  <c r="L6" i="7"/>
  <c r="L5" i="7"/>
  <c r="I16" i="5"/>
  <c r="I15" i="5"/>
  <c r="I14" i="5"/>
  <c r="I13" i="5"/>
  <c r="I12" i="5"/>
  <c r="I11" i="5"/>
  <c r="I10" i="5"/>
  <c r="I9" i="5"/>
  <c r="I8" i="5"/>
  <c r="I7" i="5"/>
  <c r="I18" i="5" s="1"/>
  <c r="I19" i="5" s="1"/>
  <c r="I6" i="5"/>
  <c r="I5" i="5"/>
  <c r="E15" i="4"/>
  <c r="C15" i="4"/>
  <c r="F14" i="4"/>
  <c r="F13" i="4"/>
  <c r="F12" i="4"/>
  <c r="F11" i="4"/>
  <c r="F10" i="4"/>
  <c r="F9" i="4"/>
  <c r="F15" i="4" s="1"/>
  <c r="F8" i="4"/>
  <c r="F7" i="4"/>
  <c r="F6" i="4"/>
  <c r="F5" i="4"/>
  <c r="G16" i="3"/>
  <c r="F16" i="3"/>
  <c r="G15" i="3"/>
  <c r="F15" i="3"/>
  <c r="G14" i="3"/>
  <c r="F14" i="3"/>
  <c r="G13" i="3"/>
  <c r="F13" i="3"/>
  <c r="G12" i="3"/>
  <c r="F12" i="3"/>
  <c r="G11" i="3"/>
  <c r="F11" i="3"/>
  <c r="G10" i="3"/>
  <c r="F10" i="3"/>
  <c r="G9" i="3"/>
  <c r="F9" i="3"/>
  <c r="G8" i="3"/>
  <c r="F8" i="3"/>
  <c r="G7" i="3"/>
  <c r="F7" i="3"/>
  <c r="G6" i="3"/>
  <c r="F6" i="3"/>
  <c r="G5" i="3"/>
  <c r="F5" i="3"/>
</calcChain>
</file>

<file path=xl/sharedStrings.xml><?xml version="1.0" encoding="utf-8"?>
<sst xmlns="http://schemas.openxmlformats.org/spreadsheetml/2006/main" count="256" uniqueCount="149">
  <si>
    <t>Archegos: Wrong-Way Risk &amp; Concentration Risk Dataset</t>
  </si>
  <si>
    <t>Chart-ready tables — no formulas to untangle, just select a table and insert a chart</t>
  </si>
  <si>
    <t>WHY THIS DATASET IS STRUCTURED THIS WAY</t>
  </si>
  <si>
    <t>The Archegos collapse is usually explained through VaR breaches, margin calls, and liquidity strain — but those are mechanics, not the root cause. This workbook is built around the two structural failures that actually made the position lethal: WRONG-WAY RISK and CONCENTRATION RISK. Everything else (the margin calls, the forced liquidation, the losses) was simply that root cause playing out.</t>
  </si>
  <si>
    <t>WHAT IS WRONG-WAY RISK (WWR), AND WHY DOES IT APPLY HERE?</t>
  </si>
  <si>
    <t>Classic WWR: exposure to a counterparty rises exactly as that counterparty's ability to pay falls. Archegos is an unusual but severe case of this. Its entire capital base was built from concentrated, leveraged gains in the SAME handful of correlated growth/media/China-ADR names it held swaps on — there was no independently diversified capital cushion behind the position. So when those stocks fell, the margin call went up and Archegos's capacity to pay it went down IN THE SAME MOVE, because that capacity was itself mark-to-market value in the same falling stocks. Sheets 02-04 quantify this.</t>
  </si>
  <si>
    <t>WHAT IS CONCENTRATION RISK, AND WHY DOES IT APPLY HERE?</t>
  </si>
  <si>
    <t>Ten single-stock swap positions, each sized at 5-36 days-to-liquidate against the stock's own trading volume, held simultaneously across six prime brokers that could not see each other's books. No dealer was diversified away from the concentration in absolute dollar terms, and the ten 'different' names were themselves more correlated than a naive count suggests. Sheets 05-08 quantify this.</t>
  </si>
  <si>
    <t>TWO RELATED BUT DIFFERENT NUMBERS IN THIS WORKBOOK</t>
  </si>
  <si>
    <t>Sheet 02 shows two lines that are easy to conflate: GROSS MARGIN CALL DEMAND ($3.92B at peak) is what the six banks collectively asked Archegos to post — the right number for the wrong-way-risk story, since it's what strained Archegos's capacity. NET MODELED LOSS ($2.47B) is gross demand after the same 40% collateral collection rate and 5% liquidation haircut used throughout Archegos_CCR_Simulation_Dataset.xlsx — the right number if you're tying back to the per-bank loss figures used elsewhere in the deck. Both are shown side by side in sheet 02 so you can pick the right one per chart.</t>
  </si>
  <si>
    <t>SOURCING &amp; CAVEATS</t>
  </si>
  <si>
    <t>Bank names, tickers, the trigger event, and each bank's real reported loss are public. Day-by-day figures (Archegos's implied capital, daily margin call splits, the bank x ticker exposure matrix, the correlation matrix) were never publicly disclosed at this granularity and are ILLUSTRATIVE — built to be internally consistent with the totals already established in Archegos_CCR_Simulation_Dataset.xlsx ($58.9B total notional, $2.47B base-case net modeled loss, and the per-bank/per-name splits in that workbook) and directionally consistent with public reporting on the collapse's timeline and magnitude.</t>
  </si>
  <si>
    <t>SHEET MAP</t>
  </si>
  <si>
    <t>01_Scenario_Calendar</t>
  </si>
  <si>
    <t>Day-by-day reference: Scenario Day -&gt; real date -&gt; phase label. Used as the x-axis for every time series below.</t>
  </si>
  <si>
    <t>02_WWR_Capital_vs_Exposure</t>
  </si>
  <si>
    <t>THE HEADLINE CHART. Archegos's implied capital collapsing vs. its cumulative margin call demand rising — the two lines cross. That crossover is wrong-way risk made visible.</t>
  </si>
  <si>
    <t>03_WWR_Specific_By_Name</t>
  </si>
  <si>
    <t>Per name: price decline % vs. dollar contribution to the margin call. Shows the self-referential loop — the same price move that hurt Archegos's collateral value also drove the specific exposure.</t>
  </si>
  <si>
    <t>04_WWR_CrossDealer_Correlated_Calls</t>
  </si>
  <si>
    <t>Daily margin call by bank. All six spike on the same days — one payer, six simultaneous creditors. The systemic amplifier layer of WWR.</t>
  </si>
  <si>
    <t>05_Position_vs_Liquidity</t>
  </si>
  <si>
    <t>Per name: notional vs. free float vs. average daily volume -&gt; days-to-liquidate. The classic concentration metric.</t>
  </si>
  <si>
    <t>06_CrossDealer_Heatmap</t>
  </si>
  <si>
    <t>6 banks x 10 names exposure matrix ($mm). Shows no dealer achieved true diversification — everyone was long the same handful of names.</t>
  </si>
  <si>
    <t>07_Correlation_Matrix</t>
  </si>
  <si>
    <t>10x10 correlation of the underlying names. Tests whether '10 different stocks' were actually diversified, or a single correlated factor bet.</t>
  </si>
  <si>
    <t>08_Concentration_HHI</t>
  </si>
  <si>
    <t>Herfindahl-Hirschman Index, per bank and per name, benchmarked against standard concentration thresholds.</t>
  </si>
  <si>
    <t>Scenario Calendar</t>
  </si>
  <si>
    <t>Scenario Day</t>
  </si>
  <si>
    <t>Date</t>
  </si>
  <si>
    <t>Phase</t>
  </si>
  <si>
    <t>Pre-Event Baseline</t>
  </si>
  <si>
    <t>Pre-Event Peak (Price High)</t>
  </si>
  <si>
    <t>Trigger: ViacomCBS Secondary Offering</t>
  </si>
  <si>
    <t>Escalation</t>
  </si>
  <si>
    <t>Escalation — MS Begins Liquidating</t>
  </si>
  <si>
    <t>Peak Stress — Public Block Trades</t>
  </si>
  <si>
    <t>CS / Nomura Begin Liquidating</t>
  </si>
  <si>
    <t>Liquidation Continues</t>
  </si>
  <si>
    <t>Liquidation Concludes</t>
  </si>
  <si>
    <t>Post-Event</t>
  </si>
  <si>
    <t>Post-Event Stabilization</t>
  </si>
  <si>
    <t>Wrong-Way Risk: Archegos's Own Capital vs. Its Margin Call Demand</t>
  </si>
  <si>
    <t>Chart this as a 2-line time series. The crossover point (capital line falls below the demand line) is the moment wrong-way risk became insolvency — Archegos's ability to pay ran out before the crisis did. Illustrative, calibrated to the known ~1-week collapse and the $3.92B total margin calls issued in the base case model.</t>
  </si>
  <si>
    <t>Archegos Implied Capital / Payment Capacity ($Bn)</t>
  </si>
  <si>
    <t>Cumulative Margin Call Demand, All Banks ($Bn)</t>
  </si>
  <si>
    <t>Cumulative Net Modeled Loss to Banks ($Bn)</t>
  </si>
  <si>
    <t>Coverage Gap ($Bn) [Capital minus Gross Demand]</t>
  </si>
  <si>
    <t>KEY READ</t>
  </si>
  <si>
    <t>Coverage Gap (capital vs. what banks DEMANDED) turns negative at Day 4 (Mar 26) — by the time Credit Suisse and Nomura began their slowest, most damaging liquidation five days later, Archegos's capacity to meet its own calls was already gone. The Net Modeled Loss column (col F) is what banks actually wrote off after partial collateral collection — it reaches the same $2.47Bn base-case figure used throughout Archegos_CCR_Simulation_Dataset.xlsx. Gross demand is the right line for the WWR story (it's what strained Archegos's capacity); net loss is the right line if you're tying back to the bank-loss figures elsewhere in this deck.</t>
  </si>
  <si>
    <t>Self-Referential Wrong-Way Risk, by Underlying Name</t>
  </si>
  <si>
    <t>Chart as a scatter or dual-axis bar: Price Decline % (x) vs. $ Contribution to Margin Call (y). Every name sits in the 'both go together' quadrant — there is no name where a price move helped one side without hurting the other. That's the definition of wrong-way risk with no diversifying names.</t>
  </si>
  <si>
    <t>Ticker</t>
  </si>
  <si>
    <t>Sector / Bet Type</t>
  </si>
  <si>
    <t>Notional Exposure ($mm)</t>
  </si>
  <si>
    <t>Peak-to-Trough Price Decline (%)</t>
  </si>
  <si>
    <t>Est. $ Contribution to Margin Call ($mm)</t>
  </si>
  <si>
    <t>Est. Net Modeled Loss Contribution ($mm)</t>
  </si>
  <si>
    <t>Why This Is Self-Referential WWR</t>
  </si>
  <si>
    <t>VIAC</t>
  </si>
  <si>
    <t>US Media</t>
  </si>
  <si>
    <t>This position was part of Archegos's own concentrated capital base, not a diversifying holding — the same price fall that triggered the margin call also eroded the capital available to meet it.</t>
  </si>
  <si>
    <t>DISCA</t>
  </si>
  <si>
    <t>DISCK</t>
  </si>
  <si>
    <t>BIDU</t>
  </si>
  <si>
    <t>China Internet</t>
  </si>
  <si>
    <t>TME</t>
  </si>
  <si>
    <t>VIPS</t>
  </si>
  <si>
    <t>China e-Commerce</t>
  </si>
  <si>
    <t>IQ</t>
  </si>
  <si>
    <t>China Media</t>
  </si>
  <si>
    <t>GOTU</t>
  </si>
  <si>
    <t>China EdTech</t>
  </si>
  <si>
    <t>FTCH</t>
  </si>
  <si>
    <t>Luxury e-Commerce (China-linked demand)</t>
  </si>
  <si>
    <t>RLX</t>
  </si>
  <si>
    <t>China Consumer</t>
  </si>
  <si>
    <t>TOTAL</t>
  </si>
  <si>
    <t>The Systemic Amplifier: One Payer, Six Simultaneous Creditors</t>
  </si>
  <si>
    <t>Chart as a stacked or clustered column: Scenario Day (x) vs. daily margin call $ by bank. All six banks spike on the same 2-3 days — Archegos never had the option to prioritize one lender over another; the same capital shortfall was being drawn from all six directions at once.</t>
  </si>
  <si>
    <t>Credit Suisse ($mm)</t>
  </si>
  <si>
    <t>Nomura ($mm)</t>
  </si>
  <si>
    <t>Morgan Stanley ($mm)</t>
  </si>
  <si>
    <t>Goldman Sachs ($mm)</t>
  </si>
  <si>
    <t>UBS ($mm)</t>
  </si>
  <si>
    <t>Deutsche Bank ($mm)</t>
  </si>
  <si>
    <t>TOTAL All Banks ($mm)</t>
  </si>
  <si>
    <t>Memo: Cumulative Total, All Days ($mm)</t>
  </si>
  <si>
    <t>Memo: Net Modeled Loss After Collection (x 0.63) ($mm)</t>
  </si>
  <si>
    <t>Concentration Risk: Position Size vs. Market Liquidity</t>
  </si>
  <si>
    <t>Chart Days-to-Liquidate as a bar, sorted descending — the classic concentration-risk visual.</t>
  </si>
  <si>
    <t>Free Float (mm sh)</t>
  </si>
  <si>
    <t>Avg Daily Volume (mm sh)</t>
  </si>
  <si>
    <t>Position as % of Free Float</t>
  </si>
  <si>
    <t>Days to Liquidate (Position / ADV)</t>
  </si>
  <si>
    <t>Concentration Risk: Cross-Dealer Exposure Heatmap ($mm)</t>
  </si>
  <si>
    <t>Apply a color scale across the matrix. Every bank is dark (heavily exposed) across most of the same 10 names — there is no cell that stays light for all six banks simultaneously, meaning no name was a diversifying holding for the street as a whole.</t>
  </si>
  <si>
    <t>Bank \ Ticker</t>
  </si>
  <si>
    <t>TOTAL ($mm)</t>
  </si>
  <si>
    <t>Credit Suisse</t>
  </si>
  <si>
    <t>Nomura</t>
  </si>
  <si>
    <t>Morgan Stanley</t>
  </si>
  <si>
    <t>Goldman Sachs</t>
  </si>
  <si>
    <t>UBS</t>
  </si>
  <si>
    <t>Deutsche Bank</t>
  </si>
  <si>
    <t>Concentration Risk: Were the 10 Names Actually Diversified?</t>
  </si>
  <si>
    <t>Illustrative correlation of daily returns, Feb-Mar 2021. Even the 'different' names (US media vs. China ADRs) run 0.35-0.55 correlated because they were all liquidated by the same distressed seller in the same week — forced-selling manufactures correlation that fundamentals wouldn't predict. Apply a color scale to visualize.</t>
  </si>
  <si>
    <t>Average pairwise correlation (ex-diagonal):</t>
  </si>
  <si>
    <t>For reference, a well-diversified 10-stock portfolio across unrelated sectors typically runs 0.10-0.25 average pairwise correlation. This book ran well above that even before forced selling began.</t>
  </si>
  <si>
    <t>Concentration Risk: Herfindahl-Hirschman Index (HHI)</t>
  </si>
  <si>
    <t>HHI here uses trading-book benchmarks, not antitrust convention: a well-diversified institutional book (50+ names, roughly equal-weighted) typically runs HHI well under 800. &lt;800 = Diversified (reference), 800-1,800 = Concentrated, &gt;1,800 = Highly Concentrated. Chart either table as a simple bar against these thresholds.</t>
  </si>
  <si>
    <t>TABLE A — Per-Bank HHI (concentration within each bank's own 10-name book)</t>
  </si>
  <si>
    <t>Bank</t>
  </si>
  <si>
    <t>Total Notional ($mm)</t>
  </si>
  <si>
    <t>HHI (0-10,000)</t>
  </si>
  <si>
    <t>Concentration Level</t>
  </si>
  <si>
    <t>Concentrated</t>
  </si>
  <si>
    <t>TABLE B — Per-Name Lender HHI (how concentrated are the 6 banks' shares of each name)</t>
  </si>
  <si>
    <t>Highly Concentrated</t>
  </si>
  <si>
    <t>READ</t>
  </si>
  <si>
    <t>Table A shows every bank's own book was moderately-to-highly concentrated in just 10 names. Table B shows the flip side: each name's swap exposure was itself clustered in the hands of only 2-3 dominant lenders rather than spread evenly across all six — so a single bank's slow reaction had an outsized effect on that name's price impact during the unwind.</t>
  </si>
  <si>
    <t>Risk Transmission Flow — Archegos Base Case</t>
  </si>
  <si>
    <t>How a single mispriced offering became a $9.3B street-wide loss — actual response timing</t>
  </si>
  <si>
    <t>TRANSMISSION SPEED : 9 days</t>
  </si>
  <si>
    <t>(From the Mar 22 offering to the last forced block trade on Mar 31)</t>
  </si>
  <si>
    <t>WHERE THE CHAIN COULD HAVE BROKEN</t>
  </si>
  <si>
    <t>OUTCOME (BASE CASE)</t>
  </si>
  <si>
    <t>Step 3: shared cross-dealer exposure view would have caught the concentration before the offering.</t>
  </si>
  <si>
    <t>$2.47B</t>
  </si>
  <si>
    <t>Step 4: stricter margin terms &amp; collection discipline reduce the default's severity even after the fact.</t>
  </si>
  <si>
    <t>modeled systemic loss ($9.3B actually realized across the street) once the chain runs to completion.</t>
  </si>
  <si>
    <r>
      <t>1. ViacomCBS Secondary Offering Priced Below Market</t>
    </r>
    <r>
      <rPr>
        <sz val="11"/>
        <color theme="1"/>
        <rFont val="Calibri"/>
        <family val="2"/>
        <scheme val="minor"/>
      </rPr>
      <t xml:space="preserve"> </t>
    </r>
    <r>
      <rPr>
        <i/>
        <sz val="11"/>
        <color theme="1"/>
        <rFont val="Calibri"/>
        <family val="2"/>
        <scheme val="minor"/>
      </rPr>
      <t>(trigger)</t>
    </r>
  </si>
  <si>
    <t>On March 22, 2021, ViacomCBS priced a $3B stock offering below where the market was trading. That forced a public price check on a stock that had been quietly bid up almost entirely by swap-driven demand from a handful of dealers — nobody outside those six banks knew that demand existed.</t>
  </si>
  <si>
    <t>2. Concentrated Single-Stock Price Collapse (VIAC, DISCA/K + peers)</t>
  </si>
  <si>
    <t>Once the offering exposed the gap between "real" demand and swap-driven demand, VIAC, DISCA, DISCK and the other concentrated names fell 20-50%+ within days. These weren't broad market moves — they were idiosyncratic collapses in exactly the handful of names Archegos was overweight.</t>
  </si>
  <si>
    <t>3. Simultaneous Margin Calls Across 6 Prime Brokers</t>
  </si>
  <si>
    <t>Each of the six banks independently marked its own book against the falling prices and issued a margin call around the same time. None of them knew the other five were issuing calls against the same underlying position at the same moment — that's the cross-dealer blind spot in action.</t>
  </si>
  <si>
    <t>4. Archegos Defaults on Margin Calls</t>
  </si>
  <si>
    <t>Archegos could not meet six simultaneous margin calls against a position sized for one unified book, not six fragmented ones. This is functionally a single default replicated six times over — the same collateral shortfall hitting every dealer at once.</t>
  </si>
  <si>
    <t>5. Uncoordinated Forced Block-Trade Liquidation</t>
  </si>
  <si>
    <t>With no resolution mechanism between the six banks, each began liquidating independently, in whatever order it chose to act. Morgan Stanley and Goldman Sachs moved first (Mar 25-26); Credit Suisse and Nomura moved last (Mar 29-31) — see the 07_Liquidation_Timeline sheet.</t>
  </si>
  <si>
    <t>6. Fire-Sale Price Impact Feeds Back into Remaining Positions</t>
  </si>
  <si>
    <t>Selling hundreds of millions of shares of the same handful of names, uncoordinated and back-to-back, pushed prices down further with each block trade. That worsened the mark for every bank still holding the position — a feedback loop where liquidation itself became the next shock.</t>
  </si>
  <si>
    <t>7. Uncollateralized Losses Crystallize at Slower-Moving Banks</t>
  </si>
  <si>
    <t>Banks that acted early sold into relatively intact prices and broke roughly even. Banks that acted last sold into a market already pushed down by the five liquidations ahead of them — Credit Suisse and Nomura alone absorbed about 90% of the street's realized loss.</t>
  </si>
  <si>
    <r>
      <t>8. Regulatory Scrutiny &amp; Prime Brokerage Margin Framework Overhaul</t>
    </r>
    <r>
      <rPr>
        <sz val="11"/>
        <color theme="1"/>
        <rFont val="Calibri"/>
        <family val="2"/>
        <scheme val="minor"/>
      </rPr>
      <t xml:space="preserve"> </t>
    </r>
    <r>
      <rPr>
        <i/>
        <sz val="11"/>
        <color theme="1"/>
        <rFont val="Calibri"/>
        <family val="2"/>
        <scheme val="minor"/>
      </rPr>
      <t>(terminal)</t>
    </r>
  </si>
  <si>
    <t>The aftermath produced a Senate Banking Committee investigation, SEC rulemaking on swap/Form PF reporting, and a street-wide re-underwriting of how banks margin concentrated single-stock TRS books — the direct ancestor of the tighter-margin and cross-dealer-visibility recommendations in this deck.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</si>
</sst>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00\);&quot;-&quot;"/>
    <numFmt numFmtId="166" formatCode="\$#,##0;\(\$#,##0\);&quot;-&quot;"/>
    <numFmt numFmtId="167" formatCode="0.0%;\(0.0%\);&quot;-&quot;"/>
    <numFmt numFmtId="168" formatCode="\$#,##0.0;\(\$#,##0.0\);&quot;-&quot;"/>
    <numFmt numFmtId="169" formatCode="#,##0.0"/>
    <numFmt numFmtId="170" formatCode="#,##0.0&quot; days&quot;"/>
  </numFmts>
  <fonts count="23" x14ac:knownFonts="1">
    <font>
      <sz val="11"/>
      <color theme="1"/>
      <name val="Calibri"/>
      <family val="2"/>
      <scheme val="minor"/>
    </font>
    <font>
      <b/>
      <sz val="16"/>
      <color rgb="FF1F3864"/>
      <name val="Arial"/>
      <family val="2"/>
    </font>
    <font>
      <i/>
      <sz val="10"/>
      <color rgb="FF595959"/>
      <name val="Arial"/>
      <family val="2"/>
    </font>
    <font>
      <b/>
      <sz val="12"/>
      <color rgb="FF1F3864"/>
      <name val="Arial"/>
      <family val="2"/>
    </font>
    <font>
      <sz val="10"/>
      <name val="Arial"/>
      <family val="2"/>
    </font>
    <font>
      <b/>
      <sz val="10"/>
      <color rgb="FF1F3864"/>
      <name val="Arial"/>
      <family val="2"/>
    </font>
    <font>
      <b/>
      <sz val="10"/>
      <color rgb="FFFFFFFF"/>
      <name val="Arial"/>
      <family val="2"/>
    </font>
    <font>
      <i/>
      <sz val="9"/>
      <color rgb="FF808080"/>
      <name val="Arial"/>
      <family val="2"/>
    </font>
    <font>
      <sz val="11"/>
      <color rgb="FF0000FF"/>
      <name val="Arial"/>
      <family val="2"/>
    </font>
    <font>
      <b/>
      <sz val="11"/>
      <color rgb="FF1F3864"/>
      <name val="Arial"/>
      <family val="2"/>
    </font>
    <font>
      <b/>
      <sz val="11"/>
      <name val="Arial"/>
      <family val="2"/>
    </font>
    <font>
      <i/>
      <sz val="9"/>
      <color rgb="FF595959"/>
      <name val="Arial"/>
      <family val="2"/>
    </font>
    <font>
      <b/>
      <i/>
      <sz val="11"/>
      <color rgb="FF595959"/>
      <name val="Arial"/>
      <family val="2"/>
    </font>
    <font>
      <b/>
      <sz val="11"/>
      <color rgb="FFFFFFFF"/>
      <name val="Arial"/>
      <family val="2"/>
    </font>
    <font>
      <b/>
      <sz val="13"/>
      <color rgb="FFC0392B"/>
      <name val="Arial"/>
      <family val="2"/>
    </font>
    <font>
      <sz val="11"/>
      <color rgb="FFFF0000"/>
      <name val="Calibri"/>
      <family val="2"/>
      <scheme val="minor"/>
    </font>
    <font>
      <b/>
      <sz val="11"/>
      <color theme="1"/>
      <name val="Calibri"/>
      <family val="2"/>
      <scheme val="minor"/>
    </font>
    <font>
      <b/>
      <sz val="25"/>
      <color rgb="FF1E2761"/>
      <name val="Cambria"/>
      <family val="1"/>
    </font>
    <font>
      <i/>
      <sz val="12"/>
      <color rgb="FF5B6482"/>
      <name val="Calibri"/>
      <family val="2"/>
    </font>
    <font>
      <b/>
      <sz val="10"/>
      <color rgb="FFC0392B"/>
      <name val="Calibri"/>
      <family val="2"/>
    </font>
    <font>
      <b/>
      <sz val="16"/>
      <color rgb="FF8E2A20"/>
      <name val="Cambria"/>
      <family val="1"/>
    </font>
    <font>
      <sz val="9.5"/>
      <color rgb="FF7A2E22"/>
      <name val="Calibri"/>
      <family val="2"/>
    </font>
    <font>
      <i/>
      <sz val="11"/>
      <color theme="1"/>
      <name val="Calibri"/>
      <family val="2"/>
      <scheme val="minor"/>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1" fillId="0" borderId="0" xfId="0" applyFont="1"/>
    <xf numFmtId="0" fontId="2" fillId="0" borderId="0" xfId="0" applyFont="1"/>
    <xf numFmtId="0" fontId="3" fillId="0" borderId="0" xfId="0" applyFont="1"/>
    <xf numFmtId="0" fontId="6" fillId="2" borderId="1" xfId="0" applyFont="1" applyFill="1" applyBorder="1" applyAlignment="1">
      <alignment horizontal="center" vertical="center" wrapText="1"/>
    </xf>
    <xf numFmtId="0" fontId="0" fillId="0" borderId="1" xfId="0" applyBorder="1"/>
    <xf numFmtId="164" fontId="0" fillId="0" borderId="1" xfId="0" applyNumberFormat="1" applyBorder="1"/>
    <xf numFmtId="0" fontId="7" fillId="0" borderId="0" xfId="0" applyFont="1"/>
    <xf numFmtId="165" fontId="8" fillId="3" borderId="1" xfId="0" applyNumberFormat="1" applyFont="1" applyFill="1" applyBorder="1"/>
    <xf numFmtId="165" fontId="0" fillId="0" borderId="1" xfId="0" applyNumberFormat="1" applyBorder="1"/>
    <xf numFmtId="0" fontId="9" fillId="0" borderId="0" xfId="0" applyFont="1"/>
    <xf numFmtId="0" fontId="10" fillId="0" borderId="1" xfId="0" applyFont="1" applyBorder="1"/>
    <xf numFmtId="166" fontId="8" fillId="3" borderId="1" xfId="0" applyNumberFormat="1" applyFont="1" applyFill="1" applyBorder="1"/>
    <xf numFmtId="167" fontId="8" fillId="3" borderId="1" xfId="0" applyNumberFormat="1" applyFont="1" applyFill="1" applyBorder="1"/>
    <xf numFmtId="166" fontId="0" fillId="0" borderId="1" xfId="0" applyNumberFormat="1" applyBorder="1"/>
    <xf numFmtId="0" fontId="11" fillId="0" borderId="1" xfId="0" applyFont="1" applyBorder="1" applyAlignment="1">
      <alignment vertical="center" wrapText="1"/>
    </xf>
    <xf numFmtId="166" fontId="10" fillId="0" borderId="1" xfId="0" applyNumberFormat="1" applyFont="1" applyBorder="1"/>
    <xf numFmtId="168" fontId="8" fillId="3" borderId="1" xfId="0" applyNumberFormat="1" applyFont="1" applyFill="1" applyBorder="1"/>
    <xf numFmtId="168" fontId="0" fillId="0" borderId="1" xfId="0" applyNumberFormat="1" applyBorder="1"/>
    <xf numFmtId="168" fontId="10" fillId="0" borderId="0" xfId="0" applyNumberFormat="1" applyFont="1"/>
    <xf numFmtId="168" fontId="12" fillId="0" borderId="0" xfId="0" applyNumberFormat="1" applyFont="1"/>
    <xf numFmtId="169" fontId="8" fillId="3" borderId="1" xfId="0" applyNumberFormat="1" applyFont="1" applyFill="1" applyBorder="1"/>
    <xf numFmtId="167" fontId="0" fillId="0" borderId="1" xfId="0" applyNumberFormat="1" applyBorder="1"/>
    <xf numFmtId="170" fontId="0" fillId="0" borderId="1" xfId="0" applyNumberFormat="1" applyBorder="1"/>
    <xf numFmtId="0" fontId="13" fillId="2" borderId="1" xfId="0" applyFont="1" applyFill="1" applyBorder="1"/>
    <xf numFmtId="2" fontId="0" fillId="0" borderId="1" xfId="0" applyNumberFormat="1" applyBorder="1" applyAlignment="1">
      <alignment horizontal="center"/>
    </xf>
    <xf numFmtId="0" fontId="14" fillId="0" borderId="0" xfId="0" applyFont="1"/>
    <xf numFmtId="0" fontId="4" fillId="0" borderId="0" xfId="0" applyFont="1" applyAlignment="1">
      <alignment vertical="top" wrapText="1"/>
    </xf>
    <xf numFmtId="0" fontId="0" fillId="0" borderId="0" xfId="0"/>
    <xf numFmtId="0" fontId="2" fillId="0" borderId="0" xfId="0" applyFont="1"/>
    <xf numFmtId="0" fontId="7" fillId="0" borderId="0" xfId="0" applyFont="1"/>
    <xf numFmtId="0" fontId="5" fillId="0" borderId="0" xfId="0" applyFont="1" applyAlignment="1">
      <alignment vertical="top"/>
    </xf>
    <xf numFmtId="0" fontId="10" fillId="0" borderId="0" xfId="0" applyFont="1" applyAlignment="1"/>
    <xf numFmtId="0" fontId="0" fillId="0" borderId="0" xfId="0" applyAlignment="1"/>
    <xf numFmtId="0" fontId="12" fillId="0" borderId="0" xfId="0" applyFont="1" applyAlignment="1"/>
    <xf numFmtId="0" fontId="17" fillId="0" borderId="0" xfId="0" applyFont="1" applyAlignment="1">
      <alignment horizontal="left" vertical="center" readingOrder="1"/>
    </xf>
    <xf numFmtId="0" fontId="18" fillId="0" borderId="0" xfId="0" applyFont="1" applyAlignment="1">
      <alignment horizontal="left" vertical="center" readingOrder="1"/>
    </xf>
    <xf numFmtId="0" fontId="15" fillId="0" borderId="0" xfId="0" applyFont="1"/>
    <xf numFmtId="0" fontId="19" fillId="0" borderId="0" xfId="0" applyFont="1" applyAlignment="1">
      <alignment horizontal="left" vertical="center" readingOrder="1"/>
    </xf>
    <xf numFmtId="0" fontId="20" fillId="0" borderId="0" xfId="0" applyFont="1" applyAlignment="1">
      <alignment horizontal="left" vertical="center" readingOrder="1"/>
    </xf>
    <xf numFmtId="0" fontId="21" fillId="0" borderId="0" xfId="0" applyFont="1" applyAlignment="1">
      <alignment horizontal="left" vertical="center" readingOrder="1"/>
    </xf>
    <xf numFmtId="0" fontId="16" fillId="0" borderId="0" xfId="0" applyFont="1"/>
  </cellXfs>
  <cellStyles count="1">
    <cellStyle name="Normal" xfId="0" builtinId="0"/>
  </cellStyles>
  <dxfs count="2">
    <dxf>
      <font>
        <color rgb="FF9C0006"/>
        <name val="Arial"/>
      </font>
      <fill>
        <patternFill patternType="solid">
          <fgColor rgb="FFFFC7CE"/>
        </patternFill>
      </fill>
    </dxf>
    <dxf>
      <font>
        <color rgb="FF9C0006"/>
        <name val="Arial"/>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8"/>
  <sheetViews>
    <sheetView showGridLines="0" workbookViewId="0">
      <selection activeCell="D21" sqref="D21:J21"/>
    </sheetView>
  </sheetViews>
  <sheetFormatPr defaultRowHeight="14.4" x14ac:dyDescent="0.3"/>
  <cols>
    <col min="1" max="1" width="2" customWidth="1"/>
    <col min="2" max="2" width="32.33203125" customWidth="1"/>
    <col min="3" max="3" width="2" customWidth="1"/>
    <col min="4" max="4" width="60" customWidth="1"/>
    <col min="5" max="10" width="10" customWidth="1"/>
  </cols>
  <sheetData>
    <row r="2" spans="2:10" ht="21" x14ac:dyDescent="0.4">
      <c r="B2" s="1" t="s">
        <v>0</v>
      </c>
    </row>
    <row r="3" spans="2:10" x14ac:dyDescent="0.3">
      <c r="B3" s="2" t="s">
        <v>1</v>
      </c>
    </row>
    <row r="5" spans="2:10" ht="15.6" x14ac:dyDescent="0.3">
      <c r="B5" s="3" t="s">
        <v>2</v>
      </c>
    </row>
    <row r="6" spans="2:10" ht="70.05" customHeight="1" x14ac:dyDescent="0.3">
      <c r="B6" s="27" t="s">
        <v>3</v>
      </c>
      <c r="C6" s="28"/>
      <c r="D6" s="28"/>
      <c r="E6" s="28"/>
      <c r="F6" s="28"/>
      <c r="G6" s="28"/>
      <c r="H6" s="28"/>
      <c r="I6" s="28"/>
      <c r="J6" s="28"/>
    </row>
    <row r="8" spans="2:10" ht="15.6" x14ac:dyDescent="0.3">
      <c r="B8" s="3" t="s">
        <v>4</v>
      </c>
    </row>
    <row r="9" spans="2:10" ht="85.05" customHeight="1" x14ac:dyDescent="0.3">
      <c r="B9" s="27" t="s">
        <v>5</v>
      </c>
      <c r="C9" s="28"/>
      <c r="D9" s="28"/>
      <c r="E9" s="28"/>
      <c r="F9" s="28"/>
      <c r="G9" s="28"/>
      <c r="H9" s="28"/>
      <c r="I9" s="28"/>
      <c r="J9" s="28"/>
    </row>
    <row r="11" spans="2:10" ht="15.6" x14ac:dyDescent="0.3">
      <c r="B11" s="3" t="s">
        <v>6</v>
      </c>
    </row>
    <row r="12" spans="2:10" ht="70.05" customHeight="1" x14ac:dyDescent="0.3">
      <c r="B12" s="27" t="s">
        <v>7</v>
      </c>
      <c r="C12" s="28"/>
      <c r="D12" s="28"/>
      <c r="E12" s="28"/>
      <c r="F12" s="28"/>
      <c r="G12" s="28"/>
      <c r="H12" s="28"/>
      <c r="I12" s="28"/>
      <c r="J12" s="28"/>
    </row>
    <row r="14" spans="2:10" ht="15.6" x14ac:dyDescent="0.3">
      <c r="B14" s="3" t="s">
        <v>8</v>
      </c>
    </row>
    <row r="15" spans="2:10" ht="70.05" customHeight="1" x14ac:dyDescent="0.3">
      <c r="B15" s="27" t="s">
        <v>9</v>
      </c>
      <c r="C15" s="28"/>
      <c r="D15" s="28"/>
      <c r="E15" s="28"/>
      <c r="F15" s="28"/>
      <c r="G15" s="28"/>
      <c r="H15" s="28"/>
      <c r="I15" s="28"/>
      <c r="J15" s="28"/>
    </row>
    <row r="17" spans="2:10" ht="15.6" x14ac:dyDescent="0.3">
      <c r="B17" s="3" t="s">
        <v>10</v>
      </c>
    </row>
    <row r="18" spans="2:10" ht="85.05" customHeight="1" x14ac:dyDescent="0.3">
      <c r="B18" s="27" t="s">
        <v>11</v>
      </c>
      <c r="C18" s="28"/>
      <c r="D18" s="28"/>
      <c r="E18" s="28"/>
      <c r="F18" s="28"/>
      <c r="G18" s="28"/>
      <c r="H18" s="28"/>
      <c r="I18" s="28"/>
      <c r="J18" s="28"/>
    </row>
    <row r="20" spans="2:10" ht="15.6" x14ac:dyDescent="0.3">
      <c r="B20" s="3" t="s">
        <v>12</v>
      </c>
    </row>
    <row r="21" spans="2:10" ht="42" customHeight="1" x14ac:dyDescent="0.3">
      <c r="B21" s="31" t="s">
        <v>13</v>
      </c>
      <c r="D21" s="27" t="s">
        <v>14</v>
      </c>
      <c r="E21" s="28"/>
      <c r="F21" s="28"/>
      <c r="G21" s="28"/>
      <c r="H21" s="28"/>
      <c r="I21" s="28"/>
      <c r="J21" s="28"/>
    </row>
    <row r="22" spans="2:10" ht="42" customHeight="1" x14ac:dyDescent="0.3">
      <c r="B22" s="31" t="s">
        <v>15</v>
      </c>
      <c r="D22" s="27" t="s">
        <v>16</v>
      </c>
      <c r="E22" s="28"/>
      <c r="F22" s="28"/>
      <c r="G22" s="28"/>
      <c r="H22" s="28"/>
      <c r="I22" s="28"/>
      <c r="J22" s="28"/>
    </row>
    <row r="23" spans="2:10" ht="42" customHeight="1" x14ac:dyDescent="0.3">
      <c r="B23" s="31" t="s">
        <v>17</v>
      </c>
      <c r="D23" s="27" t="s">
        <v>18</v>
      </c>
      <c r="E23" s="28"/>
      <c r="F23" s="28"/>
      <c r="G23" s="28"/>
      <c r="H23" s="28"/>
      <c r="I23" s="28"/>
      <c r="J23" s="28"/>
    </row>
    <row r="24" spans="2:10" ht="42" customHeight="1" x14ac:dyDescent="0.3">
      <c r="B24" s="31" t="s">
        <v>19</v>
      </c>
      <c r="D24" s="27" t="s">
        <v>20</v>
      </c>
      <c r="E24" s="28"/>
      <c r="F24" s="28"/>
      <c r="G24" s="28"/>
      <c r="H24" s="28"/>
      <c r="I24" s="28"/>
      <c r="J24" s="28"/>
    </row>
    <row r="25" spans="2:10" ht="42" customHeight="1" x14ac:dyDescent="0.3">
      <c r="B25" s="31" t="s">
        <v>21</v>
      </c>
      <c r="D25" s="27" t="s">
        <v>22</v>
      </c>
      <c r="E25" s="28"/>
      <c r="F25" s="28"/>
      <c r="G25" s="28"/>
      <c r="H25" s="28"/>
      <c r="I25" s="28"/>
      <c r="J25" s="28"/>
    </row>
    <row r="26" spans="2:10" ht="42" customHeight="1" x14ac:dyDescent="0.3">
      <c r="B26" s="31" t="s">
        <v>23</v>
      </c>
      <c r="D26" s="27" t="s">
        <v>24</v>
      </c>
      <c r="E26" s="28"/>
      <c r="F26" s="28"/>
      <c r="G26" s="28"/>
      <c r="H26" s="28"/>
      <c r="I26" s="28"/>
      <c r="J26" s="28"/>
    </row>
    <row r="27" spans="2:10" ht="42" customHeight="1" x14ac:dyDescent="0.3">
      <c r="B27" s="31" t="s">
        <v>25</v>
      </c>
      <c r="D27" s="27" t="s">
        <v>26</v>
      </c>
      <c r="E27" s="28"/>
      <c r="F27" s="28"/>
      <c r="G27" s="28"/>
      <c r="H27" s="28"/>
      <c r="I27" s="28"/>
      <c r="J27" s="28"/>
    </row>
    <row r="28" spans="2:10" ht="42" customHeight="1" x14ac:dyDescent="0.3">
      <c r="B28" s="31" t="s">
        <v>27</v>
      </c>
      <c r="D28" s="27" t="s">
        <v>28</v>
      </c>
      <c r="E28" s="28"/>
      <c r="F28" s="28"/>
      <c r="G28" s="28"/>
      <c r="H28" s="28"/>
      <c r="I28" s="28"/>
      <c r="J28" s="28"/>
    </row>
  </sheetData>
  <mergeCells count="13">
    <mergeCell ref="B9:J9"/>
    <mergeCell ref="B18:J18"/>
    <mergeCell ref="D24:J24"/>
    <mergeCell ref="B12:J12"/>
    <mergeCell ref="B6:J6"/>
    <mergeCell ref="D23:J23"/>
    <mergeCell ref="B15:J15"/>
    <mergeCell ref="D28:J28"/>
    <mergeCell ref="D27:J27"/>
    <mergeCell ref="D22:J22"/>
    <mergeCell ref="D26:J26"/>
    <mergeCell ref="D21:J21"/>
    <mergeCell ref="D25:J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showGridLines="0" workbookViewId="0"/>
  </sheetViews>
  <sheetFormatPr defaultRowHeight="14.4" x14ac:dyDescent="0.3"/>
  <cols>
    <col min="1" max="2" width="13" customWidth="1"/>
    <col min="3" max="3" width="42" customWidth="1"/>
  </cols>
  <sheetData>
    <row r="1" spans="1:3" ht="15.6" x14ac:dyDescent="0.3">
      <c r="A1" s="3" t="s">
        <v>29</v>
      </c>
    </row>
    <row r="3" spans="1:3" x14ac:dyDescent="0.3">
      <c r="A3" s="4" t="s">
        <v>30</v>
      </c>
      <c r="B3" s="4" t="s">
        <v>31</v>
      </c>
      <c r="C3" s="4" t="s">
        <v>32</v>
      </c>
    </row>
    <row r="4" spans="1:3" x14ac:dyDescent="0.3">
      <c r="A4" s="5">
        <v>-2</v>
      </c>
      <c r="B4" s="6">
        <v>44273</v>
      </c>
      <c r="C4" s="5" t="s">
        <v>33</v>
      </c>
    </row>
    <row r="5" spans="1:3" x14ac:dyDescent="0.3">
      <c r="A5" s="5">
        <v>-1</v>
      </c>
      <c r="B5" s="6">
        <v>44274</v>
      </c>
      <c r="C5" s="5" t="s">
        <v>34</v>
      </c>
    </row>
    <row r="6" spans="1:3" x14ac:dyDescent="0.3">
      <c r="A6" s="5">
        <v>0</v>
      </c>
      <c r="B6" s="6">
        <v>44277</v>
      </c>
      <c r="C6" s="5" t="s">
        <v>35</v>
      </c>
    </row>
    <row r="7" spans="1:3" x14ac:dyDescent="0.3">
      <c r="A7" s="5">
        <v>1</v>
      </c>
      <c r="B7" s="6">
        <v>44278</v>
      </c>
      <c r="C7" s="5" t="s">
        <v>36</v>
      </c>
    </row>
    <row r="8" spans="1:3" x14ac:dyDescent="0.3">
      <c r="A8" s="5">
        <v>2</v>
      </c>
      <c r="B8" s="6">
        <v>44279</v>
      </c>
      <c r="C8" s="5" t="s">
        <v>36</v>
      </c>
    </row>
    <row r="9" spans="1:3" x14ac:dyDescent="0.3">
      <c r="A9" s="5">
        <v>3</v>
      </c>
      <c r="B9" s="6">
        <v>44280</v>
      </c>
      <c r="C9" s="5" t="s">
        <v>37</v>
      </c>
    </row>
    <row r="10" spans="1:3" x14ac:dyDescent="0.3">
      <c r="A10" s="5">
        <v>4</v>
      </c>
      <c r="B10" s="6">
        <v>44281</v>
      </c>
      <c r="C10" s="5" t="s">
        <v>38</v>
      </c>
    </row>
    <row r="11" spans="1:3" x14ac:dyDescent="0.3">
      <c r="A11" s="5">
        <v>5</v>
      </c>
      <c r="B11" s="6">
        <v>44284</v>
      </c>
      <c r="C11" s="5" t="s">
        <v>39</v>
      </c>
    </row>
    <row r="12" spans="1:3" x14ac:dyDescent="0.3">
      <c r="A12" s="5">
        <v>6</v>
      </c>
      <c r="B12" s="6">
        <v>44285</v>
      </c>
      <c r="C12" s="5" t="s">
        <v>40</v>
      </c>
    </row>
    <row r="13" spans="1:3" x14ac:dyDescent="0.3">
      <c r="A13" s="5">
        <v>7</v>
      </c>
      <c r="B13" s="6">
        <v>44286</v>
      </c>
      <c r="C13" s="5" t="s">
        <v>41</v>
      </c>
    </row>
    <row r="14" spans="1:3" x14ac:dyDescent="0.3">
      <c r="A14" s="5">
        <v>8</v>
      </c>
      <c r="B14" s="6">
        <v>44287</v>
      </c>
      <c r="C14" s="5" t="s">
        <v>42</v>
      </c>
    </row>
    <row r="15" spans="1:3" x14ac:dyDescent="0.3">
      <c r="A15" s="5">
        <v>9</v>
      </c>
      <c r="B15" s="6">
        <v>44291</v>
      </c>
      <c r="C15" s="5" t="s">
        <v>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showGridLines="0" workbookViewId="0">
      <selection activeCell="B19" sqref="B19:G19"/>
    </sheetView>
  </sheetViews>
  <sheetFormatPr defaultRowHeight="14.4" x14ac:dyDescent="0.3"/>
  <cols>
    <col min="1" max="2" width="13" customWidth="1"/>
    <col min="3" max="3" width="30" customWidth="1"/>
    <col min="4" max="4" width="32" customWidth="1"/>
    <col min="5" max="5" width="28" customWidth="1"/>
    <col min="6" max="6" width="26" customWidth="1"/>
    <col min="7" max="7" width="30" customWidth="1"/>
  </cols>
  <sheetData>
    <row r="1" spans="1:7" ht="15.6" x14ac:dyDescent="0.3">
      <c r="A1" s="3" t="s">
        <v>44</v>
      </c>
    </row>
    <row r="2" spans="1:7" x14ac:dyDescent="0.3">
      <c r="A2" s="7" t="s">
        <v>45</v>
      </c>
    </row>
    <row r="4" spans="1:7" ht="26.4" x14ac:dyDescent="0.3">
      <c r="A4" s="4" t="s">
        <v>30</v>
      </c>
      <c r="B4" s="4" t="s">
        <v>31</v>
      </c>
      <c r="C4" s="4" t="s">
        <v>32</v>
      </c>
      <c r="D4" s="4" t="s">
        <v>46</v>
      </c>
      <c r="E4" s="4" t="s">
        <v>47</v>
      </c>
      <c r="F4" s="4" t="s">
        <v>48</v>
      </c>
      <c r="G4" s="4" t="s">
        <v>49</v>
      </c>
    </row>
    <row r="5" spans="1:7" x14ac:dyDescent="0.3">
      <c r="A5" s="5">
        <v>-2</v>
      </c>
      <c r="B5" s="6">
        <v>44273</v>
      </c>
      <c r="C5" s="5" t="s">
        <v>33</v>
      </c>
      <c r="D5" s="8">
        <v>15.5</v>
      </c>
      <c r="E5" s="8">
        <v>0</v>
      </c>
      <c r="F5" s="9">
        <f t="shared" ref="F5:F16" si="0">E5*0.63</f>
        <v>0</v>
      </c>
      <c r="G5" s="9">
        <f t="shared" ref="G5:G16" si="1">D5-E5</f>
        <v>15.5</v>
      </c>
    </row>
    <row r="6" spans="1:7" x14ac:dyDescent="0.3">
      <c r="A6" s="5">
        <v>-1</v>
      </c>
      <c r="B6" s="6">
        <v>44274</v>
      </c>
      <c r="C6" s="5" t="s">
        <v>34</v>
      </c>
      <c r="D6" s="8">
        <v>15.8</v>
      </c>
      <c r="E6" s="8">
        <v>0</v>
      </c>
      <c r="F6" s="9">
        <f t="shared" si="0"/>
        <v>0</v>
      </c>
      <c r="G6" s="9">
        <f t="shared" si="1"/>
        <v>15.8</v>
      </c>
    </row>
    <row r="7" spans="1:7" x14ac:dyDescent="0.3">
      <c r="A7" s="5">
        <v>0</v>
      </c>
      <c r="B7" s="6">
        <v>44277</v>
      </c>
      <c r="C7" s="5" t="s">
        <v>35</v>
      </c>
      <c r="D7" s="8">
        <v>13.5</v>
      </c>
      <c r="E7" s="8">
        <v>0.1</v>
      </c>
      <c r="F7" s="9">
        <f t="shared" si="0"/>
        <v>6.3E-2</v>
      </c>
      <c r="G7" s="9">
        <f t="shared" si="1"/>
        <v>13.4</v>
      </c>
    </row>
    <row r="8" spans="1:7" x14ac:dyDescent="0.3">
      <c r="A8" s="5">
        <v>1</v>
      </c>
      <c r="B8" s="6">
        <v>44278</v>
      </c>
      <c r="C8" s="5" t="s">
        <v>36</v>
      </c>
      <c r="D8" s="8">
        <v>10.8</v>
      </c>
      <c r="E8" s="8">
        <v>0.85</v>
      </c>
      <c r="F8" s="9">
        <f t="shared" si="0"/>
        <v>0.53549999999999998</v>
      </c>
      <c r="G8" s="9">
        <f t="shared" si="1"/>
        <v>9.9500000000000011</v>
      </c>
    </row>
    <row r="9" spans="1:7" x14ac:dyDescent="0.3">
      <c r="A9" s="5">
        <v>2</v>
      </c>
      <c r="B9" s="6">
        <v>44279</v>
      </c>
      <c r="C9" s="5" t="s">
        <v>36</v>
      </c>
      <c r="D9" s="8">
        <v>8</v>
      </c>
      <c r="E9" s="8">
        <v>1.95</v>
      </c>
      <c r="F9" s="9">
        <f t="shared" si="0"/>
        <v>1.2284999999999999</v>
      </c>
      <c r="G9" s="9">
        <f t="shared" si="1"/>
        <v>6.05</v>
      </c>
    </row>
    <row r="10" spans="1:7" x14ac:dyDescent="0.3">
      <c r="A10" s="5">
        <v>3</v>
      </c>
      <c r="B10" s="6">
        <v>44280</v>
      </c>
      <c r="C10" s="5" t="s">
        <v>37</v>
      </c>
      <c r="D10" s="8">
        <v>5.6</v>
      </c>
      <c r="E10" s="8">
        <v>2.95</v>
      </c>
      <c r="F10" s="9">
        <f t="shared" si="0"/>
        <v>1.8585</v>
      </c>
      <c r="G10" s="9">
        <f t="shared" si="1"/>
        <v>2.6499999999999995</v>
      </c>
    </row>
    <row r="11" spans="1:7" x14ac:dyDescent="0.3">
      <c r="A11" s="5">
        <v>4</v>
      </c>
      <c r="B11" s="6">
        <v>44281</v>
      </c>
      <c r="C11" s="5" t="s">
        <v>38</v>
      </c>
      <c r="D11" s="8">
        <v>3</v>
      </c>
      <c r="E11" s="8">
        <v>3.9243999999999999</v>
      </c>
      <c r="F11" s="9">
        <f t="shared" si="0"/>
        <v>2.472372</v>
      </c>
      <c r="G11" s="9">
        <f t="shared" si="1"/>
        <v>-0.92439999999999989</v>
      </c>
    </row>
    <row r="12" spans="1:7" x14ac:dyDescent="0.3">
      <c r="A12" s="5">
        <v>5</v>
      </c>
      <c r="B12" s="6">
        <v>44284</v>
      </c>
      <c r="C12" s="5" t="s">
        <v>39</v>
      </c>
      <c r="D12" s="8">
        <v>1</v>
      </c>
      <c r="E12" s="8">
        <v>3.9243999999999999</v>
      </c>
      <c r="F12" s="9">
        <f t="shared" si="0"/>
        <v>2.472372</v>
      </c>
      <c r="G12" s="9">
        <f t="shared" si="1"/>
        <v>-2.9243999999999999</v>
      </c>
    </row>
    <row r="13" spans="1:7" x14ac:dyDescent="0.3">
      <c r="A13" s="5">
        <v>6</v>
      </c>
      <c r="B13" s="6">
        <v>44285</v>
      </c>
      <c r="C13" s="5" t="s">
        <v>40</v>
      </c>
      <c r="D13" s="8">
        <v>-0.6</v>
      </c>
      <c r="E13" s="8">
        <v>3.9243999999999999</v>
      </c>
      <c r="F13" s="9">
        <f t="shared" si="0"/>
        <v>2.472372</v>
      </c>
      <c r="G13" s="9">
        <f t="shared" si="1"/>
        <v>-4.5244</v>
      </c>
    </row>
    <row r="14" spans="1:7" x14ac:dyDescent="0.3">
      <c r="A14" s="5">
        <v>7</v>
      </c>
      <c r="B14" s="6">
        <v>44286</v>
      </c>
      <c r="C14" s="5" t="s">
        <v>41</v>
      </c>
      <c r="D14" s="8">
        <v>-1.1000000000000001</v>
      </c>
      <c r="E14" s="8">
        <v>3.9243999999999999</v>
      </c>
      <c r="F14" s="9">
        <f t="shared" si="0"/>
        <v>2.472372</v>
      </c>
      <c r="G14" s="9">
        <f t="shared" si="1"/>
        <v>-5.0244</v>
      </c>
    </row>
    <row r="15" spans="1:7" x14ac:dyDescent="0.3">
      <c r="A15" s="5">
        <v>8</v>
      </c>
      <c r="B15" s="6">
        <v>44287</v>
      </c>
      <c r="C15" s="5" t="s">
        <v>42</v>
      </c>
      <c r="D15" s="8">
        <v>-1.3</v>
      </c>
      <c r="E15" s="8">
        <v>3.9243999999999999</v>
      </c>
      <c r="F15" s="9">
        <f t="shared" si="0"/>
        <v>2.472372</v>
      </c>
      <c r="G15" s="9">
        <f t="shared" si="1"/>
        <v>-5.2244000000000002</v>
      </c>
    </row>
    <row r="16" spans="1:7" x14ac:dyDescent="0.3">
      <c r="A16" s="5">
        <v>9</v>
      </c>
      <c r="B16" s="6">
        <v>44291</v>
      </c>
      <c r="C16" s="5" t="s">
        <v>43</v>
      </c>
      <c r="D16" s="8">
        <v>-1.3</v>
      </c>
      <c r="E16" s="8">
        <v>3.9243999999999999</v>
      </c>
      <c r="F16" s="9">
        <f t="shared" si="0"/>
        <v>2.472372</v>
      </c>
      <c r="G16" s="9">
        <f t="shared" si="1"/>
        <v>-5.2244000000000002</v>
      </c>
    </row>
    <row r="18" spans="2:7" x14ac:dyDescent="0.3">
      <c r="B18" s="10" t="s">
        <v>50</v>
      </c>
    </row>
    <row r="19" spans="2:7" ht="67.95" customHeight="1" x14ac:dyDescent="0.3">
      <c r="B19" s="29" t="s">
        <v>51</v>
      </c>
      <c r="C19" s="28"/>
      <c r="D19" s="28"/>
      <c r="E19" s="28"/>
      <c r="F19" s="28"/>
      <c r="G19" s="28"/>
    </row>
  </sheetData>
  <mergeCells count="1">
    <mergeCell ref="B19:G19"/>
  </mergeCells>
  <conditionalFormatting sqref="G5:G16">
    <cfRule type="expression" dxfId="1" priority="1">
      <formula>G5&lt;0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showGridLines="0" workbookViewId="0"/>
  </sheetViews>
  <sheetFormatPr defaultRowHeight="14.4" x14ac:dyDescent="0.3"/>
  <cols>
    <col min="1" max="1" width="9" customWidth="1"/>
    <col min="2" max="2" width="34" customWidth="1"/>
    <col min="3" max="3" width="18" customWidth="1"/>
    <col min="4" max="4" width="20" customWidth="1"/>
    <col min="5" max="5" width="24" customWidth="1"/>
    <col min="6" max="6" width="22" customWidth="1"/>
    <col min="7" max="7" width="60" customWidth="1"/>
  </cols>
  <sheetData>
    <row r="1" spans="1:7" ht="15.6" x14ac:dyDescent="0.3">
      <c r="A1" s="3" t="s">
        <v>52</v>
      </c>
    </row>
    <row r="2" spans="1:7" x14ac:dyDescent="0.3">
      <c r="A2" s="7" t="s">
        <v>53</v>
      </c>
    </row>
    <row r="4" spans="1:7" ht="26.4" x14ac:dyDescent="0.3">
      <c r="A4" s="4" t="s">
        <v>54</v>
      </c>
      <c r="B4" s="4" t="s">
        <v>55</v>
      </c>
      <c r="C4" s="4" t="s">
        <v>56</v>
      </c>
      <c r="D4" s="4" t="s">
        <v>57</v>
      </c>
      <c r="E4" s="4" t="s">
        <v>58</v>
      </c>
      <c r="F4" s="4" t="s">
        <v>59</v>
      </c>
      <c r="G4" s="4" t="s">
        <v>60</v>
      </c>
    </row>
    <row r="5" spans="1:7" ht="34.200000000000003" x14ac:dyDescent="0.3">
      <c r="A5" s="11" t="s">
        <v>61</v>
      </c>
      <c r="B5" s="5" t="s">
        <v>62</v>
      </c>
      <c r="C5" s="12">
        <v>9112</v>
      </c>
      <c r="D5" s="13">
        <v>-0.55000000000000004</v>
      </c>
      <c r="E5" s="12">
        <v>826.6</v>
      </c>
      <c r="F5" s="14">
        <f t="shared" ref="F5:F14" si="0">E5*0.63</f>
        <v>520.75800000000004</v>
      </c>
      <c r="G5" s="15" t="s">
        <v>63</v>
      </c>
    </row>
    <row r="6" spans="1:7" ht="34.200000000000003" x14ac:dyDescent="0.3">
      <c r="A6" s="11" t="s">
        <v>64</v>
      </c>
      <c r="B6" s="5" t="s">
        <v>62</v>
      </c>
      <c r="C6" s="12">
        <v>8402.7999999999993</v>
      </c>
      <c r="D6" s="13">
        <v>-0.56000000000000005</v>
      </c>
      <c r="E6" s="12">
        <v>776.1</v>
      </c>
      <c r="F6" s="14">
        <f t="shared" si="0"/>
        <v>488.94300000000004</v>
      </c>
      <c r="G6" s="15" t="s">
        <v>63</v>
      </c>
    </row>
    <row r="7" spans="1:7" ht="34.200000000000003" x14ac:dyDescent="0.3">
      <c r="A7" s="11" t="s">
        <v>65</v>
      </c>
      <c r="B7" s="5" t="s">
        <v>62</v>
      </c>
      <c r="C7" s="12">
        <v>7119.4</v>
      </c>
      <c r="D7" s="13">
        <v>-0.56299999999999994</v>
      </c>
      <c r="E7" s="12">
        <v>661.1</v>
      </c>
      <c r="F7" s="14">
        <f t="shared" si="0"/>
        <v>416.49299999999999</v>
      </c>
      <c r="G7" s="15" t="s">
        <v>63</v>
      </c>
    </row>
    <row r="8" spans="1:7" ht="34.200000000000003" x14ac:dyDescent="0.3">
      <c r="A8" s="11" t="s">
        <v>66</v>
      </c>
      <c r="B8" s="5" t="s">
        <v>67</v>
      </c>
      <c r="C8" s="12">
        <v>6444.7</v>
      </c>
      <c r="D8" s="13">
        <v>-0.29099999999999998</v>
      </c>
      <c r="E8" s="12">
        <v>309.3</v>
      </c>
      <c r="F8" s="14">
        <f t="shared" si="0"/>
        <v>194.85900000000001</v>
      </c>
      <c r="G8" s="15" t="s">
        <v>63</v>
      </c>
    </row>
    <row r="9" spans="1:7" ht="34.200000000000003" x14ac:dyDescent="0.3">
      <c r="A9" s="11" t="s">
        <v>68</v>
      </c>
      <c r="B9" s="5" t="s">
        <v>67</v>
      </c>
      <c r="C9" s="12">
        <v>4668.3</v>
      </c>
      <c r="D9" s="13">
        <v>-0.23899999999999999</v>
      </c>
      <c r="E9" s="12">
        <v>184</v>
      </c>
      <c r="F9" s="14">
        <f t="shared" si="0"/>
        <v>115.92</v>
      </c>
      <c r="G9" s="15" t="s">
        <v>63</v>
      </c>
    </row>
    <row r="10" spans="1:7" ht="34.200000000000003" x14ac:dyDescent="0.3">
      <c r="A10" s="11" t="s">
        <v>69</v>
      </c>
      <c r="B10" s="5" t="s">
        <v>70</v>
      </c>
      <c r="C10" s="12">
        <v>4567.1000000000004</v>
      </c>
      <c r="D10" s="13">
        <v>-0.27</v>
      </c>
      <c r="E10" s="12">
        <v>203.4</v>
      </c>
      <c r="F10" s="14">
        <f t="shared" si="0"/>
        <v>128.142</v>
      </c>
      <c r="G10" s="15" t="s">
        <v>63</v>
      </c>
    </row>
    <row r="11" spans="1:7" ht="34.200000000000003" x14ac:dyDescent="0.3">
      <c r="A11" s="11" t="s">
        <v>71</v>
      </c>
      <c r="B11" s="5" t="s">
        <v>72</v>
      </c>
      <c r="C11" s="12">
        <v>5000.3999999999996</v>
      </c>
      <c r="D11" s="13">
        <v>-0.29299999999999998</v>
      </c>
      <c r="E11" s="12">
        <v>241.7</v>
      </c>
      <c r="F11" s="14">
        <f t="shared" si="0"/>
        <v>152.27099999999999</v>
      </c>
      <c r="G11" s="15" t="s">
        <v>63</v>
      </c>
    </row>
    <row r="12" spans="1:7" ht="34.200000000000003" x14ac:dyDescent="0.3">
      <c r="A12" s="11" t="s">
        <v>73</v>
      </c>
      <c r="B12" s="5" t="s">
        <v>74</v>
      </c>
      <c r="C12" s="12">
        <v>5849.2</v>
      </c>
      <c r="D12" s="13">
        <v>-0.45700000000000002</v>
      </c>
      <c r="E12" s="12">
        <v>440.9</v>
      </c>
      <c r="F12" s="14">
        <f t="shared" si="0"/>
        <v>277.767</v>
      </c>
      <c r="G12" s="15" t="s">
        <v>63</v>
      </c>
    </row>
    <row r="13" spans="1:7" ht="34.200000000000003" x14ac:dyDescent="0.3">
      <c r="A13" s="11" t="s">
        <v>75</v>
      </c>
      <c r="B13" s="5" t="s">
        <v>76</v>
      </c>
      <c r="C13" s="12">
        <v>4195.5</v>
      </c>
      <c r="D13" s="13">
        <v>-0.22600000000000001</v>
      </c>
      <c r="E13" s="12">
        <v>156.4</v>
      </c>
      <c r="F13" s="14">
        <f t="shared" si="0"/>
        <v>98.532000000000011</v>
      </c>
      <c r="G13" s="15" t="s">
        <v>63</v>
      </c>
    </row>
    <row r="14" spans="1:7" ht="34.200000000000003" x14ac:dyDescent="0.3">
      <c r="A14" s="11" t="s">
        <v>77</v>
      </c>
      <c r="B14" s="5" t="s">
        <v>78</v>
      </c>
      <c r="C14" s="12">
        <v>3587.8</v>
      </c>
      <c r="D14" s="13">
        <v>-0.21099999999999999</v>
      </c>
      <c r="E14" s="12">
        <v>124.9</v>
      </c>
      <c r="F14" s="14">
        <f t="shared" si="0"/>
        <v>78.686999999999998</v>
      </c>
      <c r="G14" s="15" t="s">
        <v>63</v>
      </c>
    </row>
    <row r="15" spans="1:7" x14ac:dyDescent="0.3">
      <c r="A15" s="11" t="s">
        <v>79</v>
      </c>
      <c r="B15" s="5"/>
      <c r="C15" s="16">
        <f>SUM(C5:C14)</f>
        <v>58947.199999999997</v>
      </c>
      <c r="D15" s="5"/>
      <c r="E15" s="16">
        <f>SUM(E5:E14)</f>
        <v>3924.4000000000005</v>
      </c>
      <c r="F15" s="16">
        <f>SUM(F5:F14)</f>
        <v>2472.3719999999998</v>
      </c>
      <c r="G15"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showGridLines="0" workbookViewId="0">
      <selection activeCell="E22" sqref="E22"/>
    </sheetView>
  </sheetViews>
  <sheetFormatPr defaultRowHeight="14.4" x14ac:dyDescent="0.3"/>
  <cols>
    <col min="1" max="1" width="13" customWidth="1"/>
    <col min="2" max="2" width="19.44140625" customWidth="1"/>
    <col min="3" max="8" width="16" customWidth="1"/>
    <col min="9" max="9" width="18" customWidth="1"/>
  </cols>
  <sheetData>
    <row r="1" spans="1:9" ht="15.6" x14ac:dyDescent="0.3">
      <c r="A1" s="3" t="s">
        <v>80</v>
      </c>
    </row>
    <row r="2" spans="1:9" x14ac:dyDescent="0.3">
      <c r="A2" s="7" t="s">
        <v>81</v>
      </c>
    </row>
    <row r="4" spans="1:9" ht="26.4" x14ac:dyDescent="0.3">
      <c r="A4" s="4" t="s">
        <v>30</v>
      </c>
      <c r="B4" s="4" t="s">
        <v>31</v>
      </c>
      <c r="C4" s="4" t="s">
        <v>82</v>
      </c>
      <c r="D4" s="4" t="s">
        <v>83</v>
      </c>
      <c r="E4" s="4" t="s">
        <v>84</v>
      </c>
      <c r="F4" s="4" t="s">
        <v>85</v>
      </c>
      <c r="G4" s="4" t="s">
        <v>86</v>
      </c>
      <c r="H4" s="4" t="s">
        <v>87</v>
      </c>
      <c r="I4" s="4" t="s">
        <v>88</v>
      </c>
    </row>
    <row r="5" spans="1:9" x14ac:dyDescent="0.3">
      <c r="A5" s="5">
        <v>-2</v>
      </c>
      <c r="B5" s="6">
        <v>44273</v>
      </c>
      <c r="C5" s="17">
        <v>0</v>
      </c>
      <c r="D5" s="17">
        <v>0</v>
      </c>
      <c r="E5" s="17">
        <v>0</v>
      </c>
      <c r="F5" s="17">
        <v>0</v>
      </c>
      <c r="G5" s="17">
        <v>0</v>
      </c>
      <c r="H5" s="17">
        <v>0</v>
      </c>
      <c r="I5" s="18">
        <f t="shared" ref="I5:I16" si="0">SUM(C5:H5)</f>
        <v>0</v>
      </c>
    </row>
    <row r="6" spans="1:9" x14ac:dyDescent="0.3">
      <c r="A6" s="5">
        <v>-1</v>
      </c>
      <c r="B6" s="6">
        <v>44274</v>
      </c>
      <c r="C6" s="17">
        <v>0</v>
      </c>
      <c r="D6" s="17">
        <v>0</v>
      </c>
      <c r="E6" s="17">
        <v>0</v>
      </c>
      <c r="F6" s="17">
        <v>0</v>
      </c>
      <c r="G6" s="17">
        <v>0</v>
      </c>
      <c r="H6" s="17">
        <v>0</v>
      </c>
      <c r="I6" s="18">
        <f t="shared" si="0"/>
        <v>0</v>
      </c>
    </row>
    <row r="7" spans="1:9" x14ac:dyDescent="0.3">
      <c r="A7" s="5">
        <v>0</v>
      </c>
      <c r="B7" s="6">
        <v>44277</v>
      </c>
      <c r="C7" s="17">
        <v>33.700000000000003</v>
      </c>
      <c r="D7" s="17">
        <v>17.899999999999999</v>
      </c>
      <c r="E7" s="17">
        <v>15.3</v>
      </c>
      <c r="F7" s="17">
        <v>14</v>
      </c>
      <c r="G7" s="17">
        <v>10.8</v>
      </c>
      <c r="H7" s="17">
        <v>8.3000000000000007</v>
      </c>
      <c r="I7" s="18">
        <f t="shared" si="0"/>
        <v>100</v>
      </c>
    </row>
    <row r="8" spans="1:9" x14ac:dyDescent="0.3">
      <c r="A8" s="5">
        <v>1</v>
      </c>
      <c r="B8" s="6">
        <v>44278</v>
      </c>
      <c r="C8" s="17">
        <v>252.6</v>
      </c>
      <c r="D8" s="17">
        <v>134.4</v>
      </c>
      <c r="E8" s="17">
        <v>114.6</v>
      </c>
      <c r="F8" s="17">
        <v>105.3</v>
      </c>
      <c r="G8" s="17">
        <v>81.099999999999994</v>
      </c>
      <c r="H8" s="17">
        <v>61.9</v>
      </c>
      <c r="I8" s="18">
        <f t="shared" si="0"/>
        <v>749.9</v>
      </c>
    </row>
    <row r="9" spans="1:9" x14ac:dyDescent="0.3">
      <c r="A9" s="5">
        <v>2</v>
      </c>
      <c r="B9" s="6">
        <v>44279</v>
      </c>
      <c r="C9" s="17">
        <v>370.5</v>
      </c>
      <c r="D9" s="17">
        <v>197.1</v>
      </c>
      <c r="E9" s="17">
        <v>168.1</v>
      </c>
      <c r="F9" s="17">
        <v>154.5</v>
      </c>
      <c r="G9" s="17">
        <v>119</v>
      </c>
      <c r="H9" s="17">
        <v>90.8</v>
      </c>
      <c r="I9" s="18">
        <f t="shared" si="0"/>
        <v>1100</v>
      </c>
    </row>
    <row r="10" spans="1:9" x14ac:dyDescent="0.3">
      <c r="A10" s="5">
        <v>3</v>
      </c>
      <c r="B10" s="6">
        <v>44280</v>
      </c>
      <c r="C10" s="17">
        <v>336.8</v>
      </c>
      <c r="D10" s="17">
        <v>179.2</v>
      </c>
      <c r="E10" s="17">
        <v>152.80000000000001</v>
      </c>
      <c r="F10" s="17">
        <v>140.4</v>
      </c>
      <c r="G10" s="17">
        <v>108.2</v>
      </c>
      <c r="H10" s="17">
        <v>82.6</v>
      </c>
      <c r="I10" s="18">
        <f t="shared" si="0"/>
        <v>1000</v>
      </c>
    </row>
    <row r="11" spans="1:9" x14ac:dyDescent="0.3">
      <c r="A11" s="5">
        <v>4</v>
      </c>
      <c r="B11" s="6">
        <v>44281</v>
      </c>
      <c r="C11" s="17">
        <v>326.7</v>
      </c>
      <c r="D11" s="17">
        <v>173.8</v>
      </c>
      <c r="E11" s="17">
        <v>148.19999999999999</v>
      </c>
      <c r="F11" s="17">
        <v>136.19999999999999</v>
      </c>
      <c r="G11" s="17">
        <v>104.9</v>
      </c>
      <c r="H11" s="17">
        <v>80.099999999999994</v>
      </c>
      <c r="I11" s="18">
        <f t="shared" si="0"/>
        <v>969.90000000000009</v>
      </c>
    </row>
    <row r="12" spans="1:9" x14ac:dyDescent="0.3">
      <c r="A12" s="5">
        <v>5</v>
      </c>
      <c r="B12" s="6">
        <v>44284</v>
      </c>
      <c r="C12" s="17">
        <v>0.7</v>
      </c>
      <c r="D12" s="17">
        <v>0.4</v>
      </c>
      <c r="E12" s="17">
        <v>0.3</v>
      </c>
      <c r="F12" s="17">
        <v>0.3</v>
      </c>
      <c r="G12" s="17">
        <v>0.2</v>
      </c>
      <c r="H12" s="17">
        <v>0.2</v>
      </c>
      <c r="I12" s="18">
        <f t="shared" si="0"/>
        <v>2.1</v>
      </c>
    </row>
    <row r="13" spans="1:9" x14ac:dyDescent="0.3">
      <c r="A13" s="5">
        <v>6</v>
      </c>
      <c r="B13" s="6">
        <v>44285</v>
      </c>
      <c r="C13" s="17">
        <v>0.3</v>
      </c>
      <c r="D13" s="17">
        <v>0.2</v>
      </c>
      <c r="E13" s="17">
        <v>0.2</v>
      </c>
      <c r="F13" s="17">
        <v>0.1</v>
      </c>
      <c r="G13" s="17">
        <v>0.1</v>
      </c>
      <c r="H13" s="17">
        <v>0.1</v>
      </c>
      <c r="I13" s="18">
        <f t="shared" si="0"/>
        <v>0.99999999999999989</v>
      </c>
    </row>
    <row r="14" spans="1:9" x14ac:dyDescent="0.3">
      <c r="A14" s="5">
        <v>7</v>
      </c>
      <c r="B14" s="6">
        <v>44286</v>
      </c>
      <c r="C14" s="17">
        <v>0.2</v>
      </c>
      <c r="D14" s="17">
        <v>0.1</v>
      </c>
      <c r="E14" s="17">
        <v>0.1</v>
      </c>
      <c r="F14" s="17">
        <v>0.1</v>
      </c>
      <c r="G14" s="17">
        <v>0.1</v>
      </c>
      <c r="H14" s="17">
        <v>0</v>
      </c>
      <c r="I14" s="18">
        <f t="shared" si="0"/>
        <v>0.6</v>
      </c>
    </row>
    <row r="15" spans="1:9" x14ac:dyDescent="0.3">
      <c r="A15" s="5">
        <v>8</v>
      </c>
      <c r="B15" s="6">
        <v>44287</v>
      </c>
      <c r="C15" s="17">
        <v>0.2</v>
      </c>
      <c r="D15" s="17">
        <v>0.1</v>
      </c>
      <c r="E15" s="17">
        <v>0.1</v>
      </c>
      <c r="F15" s="17">
        <v>0.1</v>
      </c>
      <c r="G15" s="17">
        <v>0.1</v>
      </c>
      <c r="H15" s="17">
        <v>0</v>
      </c>
      <c r="I15" s="18">
        <f t="shared" si="0"/>
        <v>0.6</v>
      </c>
    </row>
    <row r="16" spans="1:9" x14ac:dyDescent="0.3">
      <c r="A16" s="5">
        <v>9</v>
      </c>
      <c r="B16" s="6">
        <v>44291</v>
      </c>
      <c r="C16" s="17">
        <v>0.1</v>
      </c>
      <c r="D16" s="17">
        <v>0.1</v>
      </c>
      <c r="E16" s="17">
        <v>0</v>
      </c>
      <c r="F16" s="17">
        <v>0</v>
      </c>
      <c r="G16" s="17">
        <v>0</v>
      </c>
      <c r="H16" s="17">
        <v>0</v>
      </c>
      <c r="I16" s="18">
        <f t="shared" si="0"/>
        <v>0.2</v>
      </c>
    </row>
    <row r="18" spans="1:9" x14ac:dyDescent="0.3">
      <c r="A18" s="32" t="s">
        <v>89</v>
      </c>
      <c r="B18" s="33"/>
      <c r="I18" s="19">
        <f>SUM(I5:I16)</f>
        <v>3924.2999999999997</v>
      </c>
    </row>
    <row r="19" spans="1:9" x14ac:dyDescent="0.3">
      <c r="A19" s="34" t="s">
        <v>90</v>
      </c>
      <c r="B19" s="33"/>
      <c r="I19" s="20">
        <f>I18*0.63</f>
        <v>2472.3089999999997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
  <sheetViews>
    <sheetView showGridLines="0" workbookViewId="0"/>
  </sheetViews>
  <sheetFormatPr defaultRowHeight="14.4" x14ac:dyDescent="0.3"/>
  <cols>
    <col min="1" max="1" width="9" customWidth="1"/>
    <col min="2" max="2" width="20" customWidth="1"/>
    <col min="3" max="3" width="16" customWidth="1"/>
    <col min="4" max="4" width="20" customWidth="1"/>
    <col min="5" max="5" width="18" customWidth="1"/>
    <col min="6" max="6" width="24" customWidth="1"/>
  </cols>
  <sheetData>
    <row r="1" spans="1:6" ht="15.6" x14ac:dyDescent="0.3">
      <c r="A1" s="3" t="s">
        <v>91</v>
      </c>
    </row>
    <row r="2" spans="1:6" x14ac:dyDescent="0.3">
      <c r="A2" s="7" t="s">
        <v>92</v>
      </c>
    </row>
    <row r="4" spans="1:6" ht="26.4" x14ac:dyDescent="0.3">
      <c r="A4" s="4" t="s">
        <v>54</v>
      </c>
      <c r="B4" s="4" t="s">
        <v>56</v>
      </c>
      <c r="C4" s="4" t="s">
        <v>93</v>
      </c>
      <c r="D4" s="4" t="s">
        <v>94</v>
      </c>
      <c r="E4" s="4" t="s">
        <v>95</v>
      </c>
      <c r="F4" s="4" t="s">
        <v>96</v>
      </c>
    </row>
    <row r="5" spans="1:6" x14ac:dyDescent="0.3">
      <c r="A5" s="11" t="s">
        <v>61</v>
      </c>
      <c r="B5" s="12">
        <v>9112</v>
      </c>
      <c r="C5" s="21">
        <v>250</v>
      </c>
      <c r="D5" s="21">
        <v>8</v>
      </c>
      <c r="E5" s="22">
        <v>0.66149999999999998</v>
      </c>
      <c r="F5" s="23">
        <v>20.67</v>
      </c>
    </row>
    <row r="6" spans="1:6" x14ac:dyDescent="0.3">
      <c r="A6" s="11" t="s">
        <v>64</v>
      </c>
      <c r="B6" s="12">
        <v>8402.7999999999993</v>
      </c>
      <c r="C6" s="21">
        <v>180</v>
      </c>
      <c r="D6" s="21">
        <v>6</v>
      </c>
      <c r="E6" s="22">
        <v>1.0476000000000001</v>
      </c>
      <c r="F6" s="23">
        <v>31.43</v>
      </c>
    </row>
    <row r="7" spans="1:6" x14ac:dyDescent="0.3">
      <c r="A7" s="11" t="s">
        <v>65</v>
      </c>
      <c r="B7" s="12">
        <v>7119.4</v>
      </c>
      <c r="C7" s="21">
        <v>210</v>
      </c>
      <c r="D7" s="21">
        <v>7</v>
      </c>
      <c r="E7" s="22">
        <v>0.78490000000000004</v>
      </c>
      <c r="F7" s="23">
        <v>23.55</v>
      </c>
    </row>
    <row r="8" spans="1:6" x14ac:dyDescent="0.3">
      <c r="A8" s="11" t="s">
        <v>66</v>
      </c>
      <c r="B8" s="12">
        <v>6444.7</v>
      </c>
      <c r="C8" s="21">
        <v>350</v>
      </c>
      <c r="D8" s="21">
        <v>5.5</v>
      </c>
      <c r="E8" s="22">
        <v>7.9299999999999995E-2</v>
      </c>
      <c r="F8" s="23">
        <v>5.05</v>
      </c>
    </row>
    <row r="9" spans="1:6" x14ac:dyDescent="0.3">
      <c r="A9" s="11" t="s">
        <v>68</v>
      </c>
      <c r="B9" s="12">
        <v>4668.3</v>
      </c>
      <c r="C9" s="21">
        <v>1600</v>
      </c>
      <c r="D9" s="21">
        <v>9</v>
      </c>
      <c r="E9" s="22">
        <v>0.15010000000000001</v>
      </c>
      <c r="F9" s="23">
        <v>26.69</v>
      </c>
    </row>
    <row r="10" spans="1:6" x14ac:dyDescent="0.3">
      <c r="A10" s="11" t="s">
        <v>69</v>
      </c>
      <c r="B10" s="12">
        <v>4567.1000000000004</v>
      </c>
      <c r="C10" s="21">
        <v>550</v>
      </c>
      <c r="D10" s="21">
        <v>10</v>
      </c>
      <c r="E10" s="22">
        <v>0.26300000000000001</v>
      </c>
      <c r="F10" s="23">
        <v>14.46</v>
      </c>
    </row>
    <row r="11" spans="1:6" x14ac:dyDescent="0.3">
      <c r="A11" s="11" t="s">
        <v>71</v>
      </c>
      <c r="B11" s="12">
        <v>5000.3999999999996</v>
      </c>
      <c r="C11" s="21">
        <v>520</v>
      </c>
      <c r="D11" s="21">
        <v>12</v>
      </c>
      <c r="E11" s="22">
        <v>0.52949999999999997</v>
      </c>
      <c r="F11" s="23">
        <v>22.94</v>
      </c>
    </row>
    <row r="12" spans="1:6" x14ac:dyDescent="0.3">
      <c r="A12" s="11" t="s">
        <v>73</v>
      </c>
      <c r="B12" s="12">
        <v>5849.2</v>
      </c>
      <c r="C12" s="21">
        <v>200</v>
      </c>
      <c r="D12" s="21">
        <v>14</v>
      </c>
      <c r="E12" s="22">
        <v>0.42980000000000002</v>
      </c>
      <c r="F12" s="23">
        <v>6.14</v>
      </c>
    </row>
    <row r="13" spans="1:6" x14ac:dyDescent="0.3">
      <c r="A13" s="11" t="s">
        <v>75</v>
      </c>
      <c r="B13" s="12">
        <v>4195.5</v>
      </c>
      <c r="C13" s="21">
        <v>230</v>
      </c>
      <c r="D13" s="21">
        <v>4</v>
      </c>
      <c r="E13" s="22">
        <v>0.35780000000000001</v>
      </c>
      <c r="F13" s="23">
        <v>20.57</v>
      </c>
    </row>
    <row r="14" spans="1:6" x14ac:dyDescent="0.3">
      <c r="A14" s="11" t="s">
        <v>77</v>
      </c>
      <c r="B14" s="12">
        <v>3587.8</v>
      </c>
      <c r="C14" s="21">
        <v>900</v>
      </c>
      <c r="D14" s="21">
        <v>6</v>
      </c>
      <c r="E14" s="22">
        <v>0.24110000000000001</v>
      </c>
      <c r="F14" s="23">
        <v>36.17</v>
      </c>
    </row>
  </sheetData>
  <conditionalFormatting sqref="F5:F14">
    <cfRule type="expression" dxfId="0" priority="1">
      <formula>F5&gt;20</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
  <sheetViews>
    <sheetView showGridLines="0" workbookViewId="0"/>
  </sheetViews>
  <sheetFormatPr defaultRowHeight="14.4" x14ac:dyDescent="0.3"/>
  <cols>
    <col min="1" max="1" width="16" customWidth="1"/>
    <col min="2" max="11" width="11" customWidth="1"/>
    <col min="12" max="12" width="14" customWidth="1"/>
  </cols>
  <sheetData>
    <row r="1" spans="1:12" ht="15.6" x14ac:dyDescent="0.3">
      <c r="A1" s="3" t="s">
        <v>97</v>
      </c>
    </row>
    <row r="2" spans="1:12" x14ac:dyDescent="0.3">
      <c r="A2" s="7" t="s">
        <v>98</v>
      </c>
    </row>
    <row r="4" spans="1:12" x14ac:dyDescent="0.3">
      <c r="A4" s="4" t="s">
        <v>99</v>
      </c>
      <c r="B4" s="4" t="s">
        <v>61</v>
      </c>
      <c r="C4" s="4" t="s">
        <v>64</v>
      </c>
      <c r="D4" s="4" t="s">
        <v>65</v>
      </c>
      <c r="E4" s="4" t="s">
        <v>66</v>
      </c>
      <c r="F4" s="4" t="s">
        <v>68</v>
      </c>
      <c r="G4" s="4" t="s">
        <v>69</v>
      </c>
      <c r="H4" s="4" t="s">
        <v>71</v>
      </c>
      <c r="I4" s="4" t="s">
        <v>73</v>
      </c>
      <c r="J4" s="4" t="s">
        <v>75</v>
      </c>
      <c r="K4" s="4" t="s">
        <v>77</v>
      </c>
      <c r="L4" s="4" t="s">
        <v>100</v>
      </c>
    </row>
    <row r="5" spans="1:12" x14ac:dyDescent="0.3">
      <c r="A5" s="11" t="s">
        <v>101</v>
      </c>
      <c r="B5" s="14">
        <v>3821.3</v>
      </c>
      <c r="C5" s="14">
        <v>3600.3</v>
      </c>
      <c r="D5" s="14">
        <v>3050.4</v>
      </c>
      <c r="E5" s="14">
        <v>1717.4</v>
      </c>
      <c r="F5" s="14">
        <v>1244</v>
      </c>
      <c r="G5" s="14">
        <v>1217</v>
      </c>
      <c r="H5" s="14">
        <v>1332.5</v>
      </c>
      <c r="I5" s="14">
        <v>1775.5</v>
      </c>
      <c r="J5" s="14">
        <v>1101.9000000000001</v>
      </c>
      <c r="K5" s="14">
        <v>993.5</v>
      </c>
      <c r="L5" s="16">
        <f t="shared" ref="L5:L11" si="0">SUM(B5:K5)</f>
        <v>19853.800000000003</v>
      </c>
    </row>
    <row r="6" spans="1:12" x14ac:dyDescent="0.3">
      <c r="A6" s="11" t="s">
        <v>102</v>
      </c>
      <c r="B6" s="14">
        <v>1935.2</v>
      </c>
      <c r="C6" s="14">
        <v>1823.3</v>
      </c>
      <c r="D6" s="14">
        <v>1544.8</v>
      </c>
      <c r="E6" s="14">
        <v>962.9</v>
      </c>
      <c r="F6" s="14">
        <v>697.5</v>
      </c>
      <c r="G6" s="14">
        <v>682.4</v>
      </c>
      <c r="H6" s="14">
        <v>747.1</v>
      </c>
      <c r="I6" s="14">
        <v>995.5</v>
      </c>
      <c r="J6" s="14">
        <v>617.79999999999995</v>
      </c>
      <c r="K6" s="14">
        <v>557</v>
      </c>
      <c r="L6" s="16">
        <f t="shared" si="0"/>
        <v>10563.499999999998</v>
      </c>
    </row>
    <row r="7" spans="1:12" x14ac:dyDescent="0.3">
      <c r="A7" s="11" t="s">
        <v>103</v>
      </c>
      <c r="B7" s="14">
        <v>811.6</v>
      </c>
      <c r="C7" s="14">
        <v>764.6</v>
      </c>
      <c r="D7" s="14">
        <v>647.79999999999995</v>
      </c>
      <c r="E7" s="14">
        <v>1336.3</v>
      </c>
      <c r="F7" s="14">
        <v>967.9</v>
      </c>
      <c r="G7" s="14">
        <v>947</v>
      </c>
      <c r="H7" s="14">
        <v>1036.8</v>
      </c>
      <c r="I7" s="14">
        <v>1062.7</v>
      </c>
      <c r="J7" s="14">
        <v>659.5</v>
      </c>
      <c r="K7" s="14">
        <v>773</v>
      </c>
      <c r="L7" s="16">
        <f t="shared" si="0"/>
        <v>9007.2000000000007</v>
      </c>
    </row>
    <row r="8" spans="1:12" x14ac:dyDescent="0.3">
      <c r="A8" s="11" t="s">
        <v>104</v>
      </c>
      <c r="B8" s="14">
        <v>812.9</v>
      </c>
      <c r="C8" s="14">
        <v>765.9</v>
      </c>
      <c r="D8" s="14">
        <v>648.9</v>
      </c>
      <c r="E8" s="14">
        <v>1179.7</v>
      </c>
      <c r="F8" s="14">
        <v>854.5</v>
      </c>
      <c r="G8" s="14">
        <v>836</v>
      </c>
      <c r="H8" s="14">
        <v>915.3</v>
      </c>
      <c r="I8" s="14">
        <v>975.7</v>
      </c>
      <c r="J8" s="14">
        <v>605.5</v>
      </c>
      <c r="K8" s="14">
        <v>682.4</v>
      </c>
      <c r="L8" s="16">
        <f t="shared" si="0"/>
        <v>8276.7999999999993</v>
      </c>
    </row>
    <row r="9" spans="1:12" x14ac:dyDescent="0.3">
      <c r="A9" s="11" t="s">
        <v>105</v>
      </c>
      <c r="B9" s="14">
        <v>763.7</v>
      </c>
      <c r="C9" s="14">
        <v>719.5</v>
      </c>
      <c r="D9" s="14">
        <v>609.6</v>
      </c>
      <c r="E9" s="14">
        <v>709.3</v>
      </c>
      <c r="F9" s="14">
        <v>513.79999999999995</v>
      </c>
      <c r="G9" s="14">
        <v>502.7</v>
      </c>
      <c r="H9" s="14">
        <v>550.4</v>
      </c>
      <c r="I9" s="14">
        <v>733.3</v>
      </c>
      <c r="J9" s="14">
        <v>864.7</v>
      </c>
      <c r="K9" s="14">
        <v>410.3</v>
      </c>
      <c r="L9" s="16">
        <f t="shared" si="0"/>
        <v>6377.3</v>
      </c>
    </row>
    <row r="10" spans="1:12" x14ac:dyDescent="0.3">
      <c r="A10" s="11" t="s">
        <v>106</v>
      </c>
      <c r="B10" s="14">
        <v>967.4</v>
      </c>
      <c r="C10" s="14">
        <v>729.2</v>
      </c>
      <c r="D10" s="14">
        <v>617.79999999999995</v>
      </c>
      <c r="E10" s="14">
        <v>539.1</v>
      </c>
      <c r="F10" s="14">
        <v>390.5</v>
      </c>
      <c r="G10" s="14">
        <v>382.1</v>
      </c>
      <c r="H10" s="14">
        <v>418.3</v>
      </c>
      <c r="I10" s="14">
        <v>306.60000000000002</v>
      </c>
      <c r="J10" s="14">
        <v>345.9</v>
      </c>
      <c r="K10" s="14">
        <v>171.5</v>
      </c>
      <c r="L10" s="16">
        <f t="shared" si="0"/>
        <v>4868.3999999999996</v>
      </c>
    </row>
    <row r="11" spans="1:12" x14ac:dyDescent="0.3">
      <c r="A11" s="11" t="s">
        <v>79</v>
      </c>
      <c r="B11" s="16">
        <f t="shared" ref="B11:K11" si="1">SUM(B5:B10)</f>
        <v>9112.1</v>
      </c>
      <c r="C11" s="16">
        <f t="shared" si="1"/>
        <v>8402.8000000000011</v>
      </c>
      <c r="D11" s="16">
        <f t="shared" si="1"/>
        <v>7119.3</v>
      </c>
      <c r="E11" s="16">
        <f t="shared" si="1"/>
        <v>6444.7000000000007</v>
      </c>
      <c r="F11" s="16">
        <f t="shared" si="1"/>
        <v>4668.2</v>
      </c>
      <c r="G11" s="16">
        <f t="shared" si="1"/>
        <v>4567.2000000000007</v>
      </c>
      <c r="H11" s="16">
        <f t="shared" si="1"/>
        <v>5000.3999999999996</v>
      </c>
      <c r="I11" s="16">
        <f t="shared" si="1"/>
        <v>5849.3</v>
      </c>
      <c r="J11" s="16">
        <f t="shared" si="1"/>
        <v>4195.2999999999993</v>
      </c>
      <c r="K11" s="16">
        <f t="shared" si="1"/>
        <v>3587.7000000000003</v>
      </c>
      <c r="L11" s="16">
        <f t="shared" si="0"/>
        <v>58947</v>
      </c>
    </row>
  </sheetData>
  <conditionalFormatting sqref="B5:K10">
    <cfRule type="colorScale" priority="1">
      <colorScale>
        <cfvo type="min"/>
        <cfvo type="max"/>
        <color rgb="FFFFF2CC"/>
        <color rgb="FFC0392B"/>
      </colorScale>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7"/>
  <sheetViews>
    <sheetView showGridLines="0" workbookViewId="0">
      <selection activeCell="G23" sqref="G23"/>
    </sheetView>
  </sheetViews>
  <sheetFormatPr defaultRowHeight="14.4" x14ac:dyDescent="0.3"/>
  <cols>
    <col min="1" max="1" width="10" customWidth="1"/>
    <col min="2" max="11" width="8" customWidth="1"/>
  </cols>
  <sheetData>
    <row r="1" spans="1:11" ht="15.6" x14ac:dyDescent="0.3">
      <c r="A1" s="3" t="s">
        <v>107</v>
      </c>
    </row>
    <row r="2" spans="1:11" x14ac:dyDescent="0.3">
      <c r="A2" s="7" t="s">
        <v>108</v>
      </c>
    </row>
    <row r="4" spans="1:11" x14ac:dyDescent="0.3">
      <c r="A4" s="4"/>
      <c r="B4" s="4" t="s">
        <v>61</v>
      </c>
      <c r="C4" s="4" t="s">
        <v>64</v>
      </c>
      <c r="D4" s="4" t="s">
        <v>65</v>
      </c>
      <c r="E4" s="4" t="s">
        <v>66</v>
      </c>
      <c r="F4" s="4" t="s">
        <v>68</v>
      </c>
      <c r="G4" s="4" t="s">
        <v>69</v>
      </c>
      <c r="H4" s="4" t="s">
        <v>71</v>
      </c>
      <c r="I4" s="4" t="s">
        <v>73</v>
      </c>
      <c r="J4" s="4" t="s">
        <v>75</v>
      </c>
      <c r="K4" s="4" t="s">
        <v>77</v>
      </c>
    </row>
    <row r="5" spans="1:11" x14ac:dyDescent="0.3">
      <c r="A5" s="24" t="s">
        <v>61</v>
      </c>
      <c r="B5" s="25">
        <v>1</v>
      </c>
      <c r="C5" s="25">
        <v>0.88</v>
      </c>
      <c r="D5" s="25">
        <v>0.88</v>
      </c>
      <c r="E5" s="25">
        <v>0.42</v>
      </c>
      <c r="F5" s="25">
        <v>0.42</v>
      </c>
      <c r="G5" s="25">
        <v>0.42</v>
      </c>
      <c r="H5" s="25">
        <v>0.42</v>
      </c>
      <c r="I5" s="25">
        <v>0.42</v>
      </c>
      <c r="J5" s="25">
        <v>0.4</v>
      </c>
      <c r="K5" s="25">
        <v>0.42</v>
      </c>
    </row>
    <row r="6" spans="1:11" x14ac:dyDescent="0.3">
      <c r="A6" s="24" t="s">
        <v>64</v>
      </c>
      <c r="B6" s="25">
        <v>0.88</v>
      </c>
      <c r="C6" s="25">
        <v>1</v>
      </c>
      <c r="D6" s="25">
        <v>0.88</v>
      </c>
      <c r="E6" s="25">
        <v>0.42</v>
      </c>
      <c r="F6" s="25">
        <v>0.42</v>
      </c>
      <c r="G6" s="25">
        <v>0.42</v>
      </c>
      <c r="H6" s="25">
        <v>0.42</v>
      </c>
      <c r="I6" s="25">
        <v>0.42</v>
      </c>
      <c r="J6" s="25">
        <v>0.4</v>
      </c>
      <c r="K6" s="25">
        <v>0.42</v>
      </c>
    </row>
    <row r="7" spans="1:11" x14ac:dyDescent="0.3">
      <c r="A7" s="24" t="s">
        <v>65</v>
      </c>
      <c r="B7" s="25">
        <v>0.88</v>
      </c>
      <c r="C7" s="25">
        <v>0.88</v>
      </c>
      <c r="D7" s="25">
        <v>1</v>
      </c>
      <c r="E7" s="25">
        <v>0.42</v>
      </c>
      <c r="F7" s="25">
        <v>0.42</v>
      </c>
      <c r="G7" s="25">
        <v>0.42</v>
      </c>
      <c r="H7" s="25">
        <v>0.42</v>
      </c>
      <c r="I7" s="25">
        <v>0.42</v>
      </c>
      <c r="J7" s="25">
        <v>0.4</v>
      </c>
      <c r="K7" s="25">
        <v>0.42</v>
      </c>
    </row>
    <row r="8" spans="1:11" x14ac:dyDescent="0.3">
      <c r="A8" s="24" t="s">
        <v>66</v>
      </c>
      <c r="B8" s="25">
        <v>0.42</v>
      </c>
      <c r="C8" s="25">
        <v>0.42</v>
      </c>
      <c r="D8" s="25">
        <v>0.42</v>
      </c>
      <c r="E8" s="25">
        <v>1</v>
      </c>
      <c r="F8" s="25">
        <v>0.68</v>
      </c>
      <c r="G8" s="25">
        <v>0.68</v>
      </c>
      <c r="H8" s="25">
        <v>0.68</v>
      </c>
      <c r="I8" s="25">
        <v>0.68</v>
      </c>
      <c r="J8" s="25">
        <v>0.5</v>
      </c>
      <c r="K8" s="25">
        <v>0.68</v>
      </c>
    </row>
    <row r="9" spans="1:11" x14ac:dyDescent="0.3">
      <c r="A9" s="24" t="s">
        <v>68</v>
      </c>
      <c r="B9" s="25">
        <v>0.42</v>
      </c>
      <c r="C9" s="25">
        <v>0.42</v>
      </c>
      <c r="D9" s="25">
        <v>0.42</v>
      </c>
      <c r="E9" s="25">
        <v>0.68</v>
      </c>
      <c r="F9" s="25">
        <v>1</v>
      </c>
      <c r="G9" s="25">
        <v>0.68</v>
      </c>
      <c r="H9" s="25">
        <v>0.68</v>
      </c>
      <c r="I9" s="25">
        <v>0.68</v>
      </c>
      <c r="J9" s="25">
        <v>0.5</v>
      </c>
      <c r="K9" s="25">
        <v>0.68</v>
      </c>
    </row>
    <row r="10" spans="1:11" x14ac:dyDescent="0.3">
      <c r="A10" s="24" t="s">
        <v>69</v>
      </c>
      <c r="B10" s="25">
        <v>0.42</v>
      </c>
      <c r="C10" s="25">
        <v>0.42</v>
      </c>
      <c r="D10" s="25">
        <v>0.42</v>
      </c>
      <c r="E10" s="25">
        <v>0.68</v>
      </c>
      <c r="F10" s="25">
        <v>0.68</v>
      </c>
      <c r="G10" s="25">
        <v>1</v>
      </c>
      <c r="H10" s="25">
        <v>0.68</v>
      </c>
      <c r="I10" s="25">
        <v>0.68</v>
      </c>
      <c r="J10" s="25">
        <v>0.5</v>
      </c>
      <c r="K10" s="25">
        <v>0.68</v>
      </c>
    </row>
    <row r="11" spans="1:11" x14ac:dyDescent="0.3">
      <c r="A11" s="24" t="s">
        <v>71</v>
      </c>
      <c r="B11" s="25">
        <v>0.42</v>
      </c>
      <c r="C11" s="25">
        <v>0.42</v>
      </c>
      <c r="D11" s="25">
        <v>0.42</v>
      </c>
      <c r="E11" s="25">
        <v>0.68</v>
      </c>
      <c r="F11" s="25">
        <v>0.68</v>
      </c>
      <c r="G11" s="25">
        <v>0.68</v>
      </c>
      <c r="H11" s="25">
        <v>1</v>
      </c>
      <c r="I11" s="25">
        <v>0.68</v>
      </c>
      <c r="J11" s="25">
        <v>0.5</v>
      </c>
      <c r="K11" s="25">
        <v>0.68</v>
      </c>
    </row>
    <row r="12" spans="1:11" x14ac:dyDescent="0.3">
      <c r="A12" s="24" t="s">
        <v>73</v>
      </c>
      <c r="B12" s="25">
        <v>0.42</v>
      </c>
      <c r="C12" s="25">
        <v>0.42</v>
      </c>
      <c r="D12" s="25">
        <v>0.42</v>
      </c>
      <c r="E12" s="25">
        <v>0.68</v>
      </c>
      <c r="F12" s="25">
        <v>0.68</v>
      </c>
      <c r="G12" s="25">
        <v>0.68</v>
      </c>
      <c r="H12" s="25">
        <v>0.68</v>
      </c>
      <c r="I12" s="25">
        <v>1</v>
      </c>
      <c r="J12" s="25">
        <v>0.5</v>
      </c>
      <c r="K12" s="25">
        <v>0.68</v>
      </c>
    </row>
    <row r="13" spans="1:11" x14ac:dyDescent="0.3">
      <c r="A13" s="24" t="s">
        <v>75</v>
      </c>
      <c r="B13" s="25">
        <v>0.4</v>
      </c>
      <c r="C13" s="25">
        <v>0.4</v>
      </c>
      <c r="D13" s="25">
        <v>0.4</v>
      </c>
      <c r="E13" s="25">
        <v>0.5</v>
      </c>
      <c r="F13" s="25">
        <v>0.5</v>
      </c>
      <c r="G13" s="25">
        <v>0.5</v>
      </c>
      <c r="H13" s="25">
        <v>0.5</v>
      </c>
      <c r="I13" s="25">
        <v>0.5</v>
      </c>
      <c r="J13" s="25">
        <v>1</v>
      </c>
      <c r="K13" s="25">
        <v>0.5</v>
      </c>
    </row>
    <row r="14" spans="1:11" x14ac:dyDescent="0.3">
      <c r="A14" s="24" t="s">
        <v>77</v>
      </c>
      <c r="B14" s="25">
        <v>0.42</v>
      </c>
      <c r="C14" s="25">
        <v>0.42</v>
      </c>
      <c r="D14" s="25">
        <v>0.42</v>
      </c>
      <c r="E14" s="25">
        <v>0.68</v>
      </c>
      <c r="F14" s="25">
        <v>0.68</v>
      </c>
      <c r="G14" s="25">
        <v>0.68</v>
      </c>
      <c r="H14" s="25">
        <v>0.68</v>
      </c>
      <c r="I14" s="25">
        <v>0.68</v>
      </c>
      <c r="J14" s="25">
        <v>0.5</v>
      </c>
      <c r="K14" s="25">
        <v>1</v>
      </c>
    </row>
    <row r="16" spans="1:11" ht="16.8" x14ac:dyDescent="0.3">
      <c r="A16" s="32" t="s">
        <v>109</v>
      </c>
      <c r="B16" s="33"/>
      <c r="C16" s="33"/>
      <c r="D16" s="33"/>
      <c r="F16" s="26">
        <v>0.55000000000000004</v>
      </c>
    </row>
    <row r="17" spans="1:10" x14ac:dyDescent="0.3">
      <c r="A17" s="30" t="s">
        <v>110</v>
      </c>
      <c r="B17" s="28"/>
      <c r="C17" s="28"/>
      <c r="D17" s="28"/>
      <c r="E17" s="28"/>
      <c r="F17" s="28"/>
      <c r="G17" s="28"/>
      <c r="H17" s="28"/>
      <c r="I17" s="28"/>
      <c r="J17" s="28"/>
    </row>
  </sheetData>
  <mergeCells count="1">
    <mergeCell ref="A17:J17"/>
  </mergeCells>
  <conditionalFormatting sqref="B5:K14">
    <cfRule type="colorScale" priority="1">
      <colorScale>
        <cfvo type="num" val="0"/>
        <cfvo type="num" val="1"/>
        <color rgb="FFFFFFFF"/>
        <color rgb="FFC0392B"/>
      </colorScale>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9"/>
  <sheetViews>
    <sheetView showGridLines="0" workbookViewId="0"/>
  </sheetViews>
  <sheetFormatPr defaultRowHeight="14.4" x14ac:dyDescent="0.3"/>
  <cols>
    <col min="1" max="1" width="16" customWidth="1"/>
    <col min="2" max="2" width="20" customWidth="1"/>
    <col min="3" max="3" width="16" customWidth="1"/>
    <col min="4" max="4" width="22" customWidth="1"/>
  </cols>
  <sheetData>
    <row r="1" spans="1:4" ht="15.6" x14ac:dyDescent="0.3">
      <c r="A1" s="3" t="s">
        <v>111</v>
      </c>
    </row>
    <row r="2" spans="1:4" x14ac:dyDescent="0.3">
      <c r="A2" s="7" t="s">
        <v>112</v>
      </c>
    </row>
    <row r="4" spans="1:4" x14ac:dyDescent="0.3">
      <c r="A4" s="10" t="s">
        <v>113</v>
      </c>
    </row>
    <row r="5" spans="1:4" x14ac:dyDescent="0.3">
      <c r="A5" s="4" t="s">
        <v>114</v>
      </c>
      <c r="B5" s="4" t="s">
        <v>115</v>
      </c>
      <c r="C5" s="4" t="s">
        <v>116</v>
      </c>
      <c r="D5" s="4" t="s">
        <v>117</v>
      </c>
    </row>
    <row r="6" spans="1:4" x14ac:dyDescent="0.3">
      <c r="A6" s="11" t="s">
        <v>101</v>
      </c>
      <c r="B6" s="14">
        <v>19853.7</v>
      </c>
      <c r="C6" s="5">
        <v>1268</v>
      </c>
      <c r="D6" s="5" t="s">
        <v>118</v>
      </c>
    </row>
    <row r="7" spans="1:4" x14ac:dyDescent="0.3">
      <c r="A7" s="11" t="s">
        <v>102</v>
      </c>
      <c r="B7" s="14">
        <v>10563.5</v>
      </c>
      <c r="C7" s="5">
        <v>1217</v>
      </c>
      <c r="D7" s="5" t="s">
        <v>118</v>
      </c>
    </row>
    <row r="8" spans="1:4" x14ac:dyDescent="0.3">
      <c r="A8" s="11" t="s">
        <v>103</v>
      </c>
      <c r="B8" s="14">
        <v>9007.2000000000007</v>
      </c>
      <c r="C8" s="5">
        <v>1050</v>
      </c>
      <c r="D8" s="5" t="s">
        <v>118</v>
      </c>
    </row>
    <row r="9" spans="1:4" x14ac:dyDescent="0.3">
      <c r="A9" s="11" t="s">
        <v>104</v>
      </c>
      <c r="B9" s="14">
        <v>8276.9</v>
      </c>
      <c r="C9" s="5">
        <v>1038</v>
      </c>
      <c r="D9" s="5" t="s">
        <v>118</v>
      </c>
    </row>
    <row r="10" spans="1:4" x14ac:dyDescent="0.3">
      <c r="A10" s="11" t="s">
        <v>105</v>
      </c>
      <c r="B10" s="14">
        <v>6377.4</v>
      </c>
      <c r="C10" s="5">
        <v>1045</v>
      </c>
      <c r="D10" s="5" t="s">
        <v>118</v>
      </c>
    </row>
    <row r="11" spans="1:4" x14ac:dyDescent="0.3">
      <c r="A11" s="11" t="s">
        <v>106</v>
      </c>
      <c r="B11" s="14">
        <v>4868.5</v>
      </c>
      <c r="C11" s="5">
        <v>1205</v>
      </c>
      <c r="D11" s="5" t="s">
        <v>118</v>
      </c>
    </row>
    <row r="14" spans="1:4" x14ac:dyDescent="0.3">
      <c r="A14" s="10" t="s">
        <v>119</v>
      </c>
    </row>
    <row r="15" spans="1:4" x14ac:dyDescent="0.3">
      <c r="A15" s="4" t="s">
        <v>54</v>
      </c>
      <c r="B15" s="4" t="s">
        <v>115</v>
      </c>
      <c r="C15" s="4" t="s">
        <v>116</v>
      </c>
      <c r="D15" s="4" t="s">
        <v>117</v>
      </c>
    </row>
    <row r="16" spans="1:4" x14ac:dyDescent="0.3">
      <c r="A16" s="11" t="s">
        <v>61</v>
      </c>
      <c r="B16" s="14">
        <v>9112</v>
      </c>
      <c r="C16" s="5">
        <v>2552</v>
      </c>
      <c r="D16" s="5" t="s">
        <v>120</v>
      </c>
    </row>
    <row r="17" spans="1:6" x14ac:dyDescent="0.3">
      <c r="A17" s="11" t="s">
        <v>64</v>
      </c>
      <c r="B17" s="14">
        <v>8402.7999999999993</v>
      </c>
      <c r="C17" s="5">
        <v>2621</v>
      </c>
      <c r="D17" s="5" t="s">
        <v>120</v>
      </c>
    </row>
    <row r="18" spans="1:6" x14ac:dyDescent="0.3">
      <c r="A18" s="11" t="s">
        <v>65</v>
      </c>
      <c r="B18" s="14">
        <v>7119.4</v>
      </c>
      <c r="C18" s="5">
        <v>2621</v>
      </c>
      <c r="D18" s="5" t="s">
        <v>120</v>
      </c>
    </row>
    <row r="19" spans="1:6" x14ac:dyDescent="0.3">
      <c r="A19" s="11" t="s">
        <v>66</v>
      </c>
      <c r="B19" s="14">
        <v>6444.7</v>
      </c>
      <c r="C19" s="5">
        <v>1889</v>
      </c>
      <c r="D19" s="5" t="s">
        <v>120</v>
      </c>
    </row>
    <row r="20" spans="1:6" x14ac:dyDescent="0.3">
      <c r="A20" s="11" t="s">
        <v>68</v>
      </c>
      <c r="B20" s="14">
        <v>4668.3</v>
      </c>
      <c r="C20" s="5">
        <v>1889</v>
      </c>
      <c r="D20" s="5" t="s">
        <v>120</v>
      </c>
    </row>
    <row r="21" spans="1:6" x14ac:dyDescent="0.3">
      <c r="A21" s="11" t="s">
        <v>69</v>
      </c>
      <c r="B21" s="14">
        <v>4567.1000000000004</v>
      </c>
      <c r="C21" s="5">
        <v>1889</v>
      </c>
      <c r="D21" s="5" t="s">
        <v>120</v>
      </c>
    </row>
    <row r="22" spans="1:6" x14ac:dyDescent="0.3">
      <c r="A22" s="11" t="s">
        <v>71</v>
      </c>
      <c r="B22" s="14">
        <v>5000.3999999999996</v>
      </c>
      <c r="C22" s="5">
        <v>1889</v>
      </c>
      <c r="D22" s="5" t="s">
        <v>120</v>
      </c>
    </row>
    <row r="23" spans="1:6" x14ac:dyDescent="0.3">
      <c r="A23" s="11" t="s">
        <v>73</v>
      </c>
      <c r="B23" s="14">
        <v>5849.2</v>
      </c>
      <c r="C23" s="5">
        <v>2004</v>
      </c>
      <c r="D23" s="5" t="s">
        <v>120</v>
      </c>
    </row>
    <row r="24" spans="1:6" x14ac:dyDescent="0.3">
      <c r="A24" s="11" t="s">
        <v>75</v>
      </c>
      <c r="B24" s="14">
        <v>4195.5</v>
      </c>
      <c r="C24" s="5">
        <v>1855</v>
      </c>
      <c r="D24" s="5" t="s">
        <v>120</v>
      </c>
    </row>
    <row r="25" spans="1:6" x14ac:dyDescent="0.3">
      <c r="A25" s="11" t="s">
        <v>77</v>
      </c>
      <c r="B25" s="14">
        <v>3587.8</v>
      </c>
      <c r="C25" s="5">
        <v>1987</v>
      </c>
      <c r="D25" s="5" t="s">
        <v>120</v>
      </c>
    </row>
    <row r="28" spans="1:6" x14ac:dyDescent="0.3">
      <c r="A28" s="10" t="s">
        <v>121</v>
      </c>
    </row>
    <row r="29" spans="1:6" ht="55.05" customHeight="1" x14ac:dyDescent="0.3">
      <c r="A29" s="29" t="s">
        <v>122</v>
      </c>
      <c r="B29" s="28"/>
      <c r="C29" s="28"/>
      <c r="D29" s="28"/>
      <c r="E29" s="28"/>
      <c r="F29" s="28"/>
    </row>
  </sheetData>
  <mergeCells count="1">
    <mergeCell ref="A29:F29"/>
  </mergeCells>
  <conditionalFormatting sqref="C6:C11">
    <cfRule type="colorScale" priority="1">
      <colorScale>
        <cfvo type="num" val="500"/>
        <cfvo type="num" val="1300"/>
        <cfvo type="num" val="2200"/>
        <color rgb="FFC6EFCE"/>
        <color rgb="FFFFEB9C"/>
        <color rgb="FFFFC7CE"/>
      </colorScale>
    </cfRule>
  </conditionalFormatting>
  <conditionalFormatting sqref="C16:C25">
    <cfRule type="colorScale" priority="2">
      <colorScale>
        <cfvo type="num" val="500"/>
        <cfvo type="num" val="1300"/>
        <cfvo type="num" val="2200"/>
        <color rgb="FFC6EFCE"/>
        <color rgb="FFFFEB9C"/>
        <color rgb="FFFFC7CE"/>
      </colorScale>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D701-D62D-4801-9931-102904C82448}">
  <dimension ref="B2:O35"/>
  <sheetViews>
    <sheetView showGridLines="0" tabSelected="1" workbookViewId="0">
      <selection activeCell="P6" sqref="P6"/>
    </sheetView>
  </sheetViews>
  <sheetFormatPr defaultRowHeight="14.4" x14ac:dyDescent="0.3"/>
  <cols>
    <col min="1" max="1" width="2" customWidth="1"/>
  </cols>
  <sheetData>
    <row r="2" spans="2:15" ht="31.2" x14ac:dyDescent="0.3">
      <c r="B2" s="35" t="s">
        <v>123</v>
      </c>
    </row>
    <row r="4" spans="2:15" ht="15.6" x14ac:dyDescent="0.3">
      <c r="B4" s="36" t="s">
        <v>124</v>
      </c>
    </row>
    <row r="5" spans="2:15" ht="15.6" x14ac:dyDescent="0.3">
      <c r="B5" s="36"/>
    </row>
    <row r="6" spans="2:15" x14ac:dyDescent="0.3">
      <c r="B6" t="s">
        <v>125</v>
      </c>
      <c r="E6" t="s">
        <v>126</v>
      </c>
    </row>
    <row r="7" spans="2:15" ht="15.6" x14ac:dyDescent="0.3">
      <c r="B7" s="36"/>
    </row>
    <row r="8" spans="2:15" x14ac:dyDescent="0.3">
      <c r="B8" s="37" t="s">
        <v>127</v>
      </c>
      <c r="O8" s="38" t="s">
        <v>128</v>
      </c>
    </row>
    <row r="9" spans="2:15" ht="20.399999999999999" x14ac:dyDescent="0.3">
      <c r="B9" s="37" t="s">
        <v>129</v>
      </c>
      <c r="O9" s="39" t="s">
        <v>130</v>
      </c>
    </row>
    <row r="10" spans="2:15" x14ac:dyDescent="0.3">
      <c r="B10" s="37" t="s">
        <v>131</v>
      </c>
      <c r="O10" s="40" t="s">
        <v>132</v>
      </c>
    </row>
    <row r="13" spans="2:15" x14ac:dyDescent="0.3">
      <c r="B13" s="41" t="s">
        <v>133</v>
      </c>
    </row>
    <row r="14" spans="2:15" x14ac:dyDescent="0.3">
      <c r="B14" t="s">
        <v>134</v>
      </c>
    </row>
    <row r="16" spans="2:15" x14ac:dyDescent="0.3">
      <c r="B16" s="41" t="s">
        <v>135</v>
      </c>
    </row>
    <row r="17" spans="2:2" x14ac:dyDescent="0.3">
      <c r="B17" t="s">
        <v>136</v>
      </c>
    </row>
    <row r="19" spans="2:2" x14ac:dyDescent="0.3">
      <c r="B19" s="41" t="s">
        <v>137</v>
      </c>
    </row>
    <row r="20" spans="2:2" x14ac:dyDescent="0.3">
      <c r="B20" t="s">
        <v>138</v>
      </c>
    </row>
    <row r="22" spans="2:2" x14ac:dyDescent="0.3">
      <c r="B22" s="41" t="s">
        <v>139</v>
      </c>
    </row>
    <row r="23" spans="2:2" x14ac:dyDescent="0.3">
      <c r="B23" t="s">
        <v>140</v>
      </c>
    </row>
    <row r="25" spans="2:2" x14ac:dyDescent="0.3">
      <c r="B25" s="41" t="s">
        <v>141</v>
      </c>
    </row>
    <row r="26" spans="2:2" x14ac:dyDescent="0.3">
      <c r="B26" t="s">
        <v>142</v>
      </c>
    </row>
    <row r="28" spans="2:2" x14ac:dyDescent="0.3">
      <c r="B28" s="41" t="s">
        <v>143</v>
      </c>
    </row>
    <row r="29" spans="2:2" x14ac:dyDescent="0.3">
      <c r="B29" t="s">
        <v>144</v>
      </c>
    </row>
    <row r="31" spans="2:2" x14ac:dyDescent="0.3">
      <c r="B31" s="41" t="s">
        <v>145</v>
      </c>
    </row>
    <row r="32" spans="2:2" x14ac:dyDescent="0.3">
      <c r="B32" t="s">
        <v>146</v>
      </c>
    </row>
    <row r="34" spans="2:2" x14ac:dyDescent="0.3">
      <c r="B34" s="41" t="s">
        <v>147</v>
      </c>
    </row>
    <row r="35" spans="2:2" x14ac:dyDescent="0.3">
      <c r="B35"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00_README</vt:lpstr>
      <vt:lpstr>01_Scenario_Calendar</vt:lpstr>
      <vt:lpstr>02_WWR_Capital_vs_Exposure</vt:lpstr>
      <vt:lpstr>03_WWR_Specific_By_Name</vt:lpstr>
      <vt:lpstr>04_WWR_CrossDealer_Calls</vt:lpstr>
      <vt:lpstr>05_Position_vs_Liquidity</vt:lpstr>
      <vt:lpstr>06_CrossDealer_Heatmap</vt:lpstr>
      <vt:lpstr>07_Correlation_Matrix</vt:lpstr>
      <vt:lpstr>08_Concentration_HHI</vt:lpstr>
      <vt:lpstr>Transmission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Gupta, Shivam</cp:lastModifiedBy>
  <dcterms:created xsi:type="dcterms:W3CDTF">2026-07-16T08:00:49Z</dcterms:created>
  <dcterms:modified xsi:type="dcterms:W3CDTF">2026-07-16T08:06:14Z</dcterms:modified>
</cp:coreProperties>
</file>